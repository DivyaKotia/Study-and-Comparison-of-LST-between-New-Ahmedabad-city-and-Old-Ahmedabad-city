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1.xml" ContentType="application/vnd.openxmlformats-officedocument.spreadsheetml.queryTable+xml"/>
  <Override PartName="/xl/queryTables/queryTable32.xml" ContentType="application/vnd.openxmlformats-officedocument.spreadsheetml.queryTable+xml"/>
  <Override PartName="/xl/queryTables/queryTable33.xml" ContentType="application/vnd.openxmlformats-officedocument.spreadsheetml.queryTable+xml"/>
  <Override PartName="/xl/queryTables/queryTable34.xml" ContentType="application/vnd.openxmlformats-officedocument.spreadsheetml.queryTable+xml"/>
  <Override PartName="/xl/queryTables/queryTable35.xml" ContentType="application/vnd.openxmlformats-officedocument.spreadsheetml.queryTable+xml"/>
  <Override PartName="/xl/queryTables/queryTable36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xcaeduin-my.sharepoint.com/personal/19ph0380_sxca_edu_in/Documents/SXCA/Project/Work/Analysed files/"/>
    </mc:Choice>
  </mc:AlternateContent>
  <xr:revisionPtr revIDLastSave="89" documentId="11_C512C13ED188083A5142BB07A35324142E8AE037" xr6:coauthVersionLast="47" xr6:coauthVersionMax="47" xr10:uidLastSave="{17B221E7-06FF-4921-A843-1430DE6C31E3}"/>
  <bookViews>
    <workbookView xWindow="-108" yWindow="-108" windowWidth="23256" windowHeight="12576" firstSheet="7" activeTab="7" xr2:uid="{00000000-000D-0000-FFFF-FFFF00000000}"/>
  </bookViews>
  <sheets>
    <sheet name="New city" sheetId="1" r:id="rId1"/>
    <sheet name="Old city" sheetId="2" r:id="rId2"/>
    <sheet name="Whole city" sheetId="3" r:id="rId3"/>
    <sheet name="Comparisons" sheetId="4" r:id="rId4"/>
    <sheet name="Correlation" sheetId="5" r:id="rId5"/>
    <sheet name="_xltb_storage_" sheetId="7" state="veryHidden" r:id="rId6"/>
    <sheet name="Graphs " sheetId="6" r:id="rId7"/>
    <sheet name="Sheet1" sheetId="8" r:id="rId8"/>
  </sheets>
  <definedNames>
    <definedName name="_2020" localSheetId="0">'New city'!$B$15:$AA$16</definedName>
    <definedName name="_2020" localSheetId="1">'Old city'!$B$14:$AA$15</definedName>
    <definedName name="April" localSheetId="0">'New city'!$AB$6:$AB$6</definedName>
    <definedName name="April_2020" localSheetId="1">'Old city'!$B$5:$AA$5</definedName>
    <definedName name="August" localSheetId="1">'Old city'!$B$9:$AA$9</definedName>
    <definedName name="December" localSheetId="0">'New city'!$AB$14:$AB$14</definedName>
    <definedName name="December" localSheetId="1">'Old city'!$B$13:$AA$13</definedName>
    <definedName name="February" localSheetId="0">'New city'!$AB$4:$AB$4</definedName>
    <definedName name="February" localSheetId="1">'Old city'!$B$3:$AA$3</definedName>
    <definedName name="January" localSheetId="0">'New city'!$AB$3:$AB$3</definedName>
    <definedName name="January" localSheetId="1">'Old city'!$B$1:$AA$2</definedName>
    <definedName name="July" localSheetId="0">'New city'!$AB$9:$AB$9</definedName>
    <definedName name="July" localSheetId="1">'Old city'!$B$8:$AA$8</definedName>
    <definedName name="July_1" localSheetId="0">'New city'!$AB$10:$AB$10</definedName>
    <definedName name="June" localSheetId="0">'New city'!$AB$8:$AB$8</definedName>
    <definedName name="June" localSheetId="1">'Old city'!$B$7:$AA$7</definedName>
    <definedName name="March" localSheetId="0">'New city'!$AB$5:$AB$5</definedName>
    <definedName name="March" localSheetId="1">'Old city'!$B$4:$AA$4</definedName>
    <definedName name="May" localSheetId="0">'New city'!$AB$7:$AB$7</definedName>
    <definedName name="May" localSheetId="1">'Old city'!$B$6:$AA$6</definedName>
    <definedName name="Monsoon" localSheetId="0">'New city'!$B$24:$AA$24</definedName>
    <definedName name="Monsoon" localSheetId="1">'Old city'!$B$23:$AA$23</definedName>
    <definedName name="November" localSheetId="0">'New city'!$AB$13:$AB$13</definedName>
    <definedName name="November" localSheetId="1">'Old city'!$B$12:$AA$12</definedName>
    <definedName name="October" localSheetId="0">'New city'!$AB$12:$AB$12</definedName>
    <definedName name="October" localSheetId="1">'Old city'!$B$11:$AA$11</definedName>
    <definedName name="Post_monsoon" localSheetId="0">'New city'!$B$25:$AA$25</definedName>
    <definedName name="Post_monsoon" localSheetId="1">'Old city'!$B$24:$AA$24</definedName>
    <definedName name="Post_monsoon" localSheetId="2">'Whole city'!$B$25:$Y$28</definedName>
    <definedName name="Pre_monsoon" localSheetId="0">'New city'!$B$23:$AA$23</definedName>
    <definedName name="Pre_monsoon" localSheetId="1">'Old city'!$B$22:$AA$22</definedName>
    <definedName name="_xlnm.Print_Area" localSheetId="3">Comparisons!$A$1:$P$44</definedName>
    <definedName name="September" localSheetId="0">'New city'!$AB$11:$AB$11</definedName>
    <definedName name="September" localSheetId="1">'Old city'!$B$10:$AA$10</definedName>
    <definedName name="Summer" localSheetId="2">'Whole city'!$B$23:$AA$24</definedName>
    <definedName name="Winter" localSheetId="0">'New city'!$B$21:$AA$22</definedName>
    <definedName name="Winter" localSheetId="1">'Old city'!$B$20:$AA$21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4" l="1"/>
  <c r="D69" i="4"/>
  <c r="F100" i="4"/>
  <c r="E100" i="4"/>
  <c r="E96" i="4"/>
  <c r="F96" i="4"/>
  <c r="D96" i="4"/>
  <c r="F92" i="4"/>
  <c r="E92" i="4"/>
  <c r="F88" i="4"/>
  <c r="E88" i="4"/>
  <c r="D88" i="4"/>
  <c r="F84" i="4"/>
  <c r="E84" i="4"/>
  <c r="D84" i="4"/>
  <c r="E77" i="4"/>
  <c r="F77" i="4"/>
  <c r="D77" i="4"/>
  <c r="F73" i="4"/>
  <c r="E73" i="4"/>
  <c r="E69" i="4"/>
  <c r="F69" i="4"/>
  <c r="E65" i="4"/>
  <c r="F65" i="4"/>
  <c r="D65" i="4"/>
  <c r="E61" i="4"/>
  <c r="F61" i="4"/>
  <c r="D61" i="4"/>
  <c r="F53" i="4"/>
  <c r="E53" i="4"/>
  <c r="D53" i="4"/>
  <c r="F49" i="4"/>
  <c r="E49" i="4"/>
  <c r="D49" i="4"/>
  <c r="E45" i="4"/>
  <c r="F45" i="4"/>
  <c r="D45" i="4"/>
  <c r="F41" i="4"/>
  <c r="E41" i="4"/>
  <c r="F37" i="4"/>
  <c r="E37" i="4"/>
  <c r="F36" i="4"/>
  <c r="D36" i="4"/>
  <c r="E36" i="4"/>
  <c r="D37" i="4"/>
  <c r="E99" i="4"/>
  <c r="F99" i="4"/>
  <c r="D99" i="4"/>
  <c r="E95" i="4"/>
  <c r="F95" i="4"/>
  <c r="D95" i="4"/>
  <c r="E91" i="4"/>
  <c r="F91" i="4"/>
  <c r="D91" i="4"/>
  <c r="E87" i="4"/>
  <c r="F87" i="4"/>
  <c r="D87" i="4"/>
  <c r="E83" i="4"/>
  <c r="F83" i="4"/>
  <c r="D83" i="4"/>
  <c r="F76" i="4"/>
  <c r="E76" i="4"/>
  <c r="D76" i="4"/>
  <c r="F72" i="4"/>
  <c r="E72" i="4"/>
  <c r="D72" i="4"/>
  <c r="F68" i="4"/>
  <c r="E68" i="4"/>
  <c r="D68" i="4"/>
  <c r="F64" i="4"/>
  <c r="E64" i="4"/>
  <c r="D64" i="4"/>
  <c r="F60" i="4"/>
  <c r="E60" i="4"/>
  <c r="D60" i="4"/>
  <c r="F52" i="4"/>
  <c r="E52" i="4"/>
  <c r="D52" i="4"/>
  <c r="F48" i="4"/>
  <c r="E48" i="4"/>
  <c r="D48" i="4"/>
  <c r="F44" i="4"/>
  <c r="E44" i="4"/>
  <c r="D44" i="4"/>
  <c r="F40" i="4"/>
  <c r="E40" i="4"/>
  <c r="D40" i="4"/>
  <c r="R18" i="4"/>
  <c r="O17" i="4"/>
  <c r="P17" i="4"/>
  <c r="R17" i="4" s="1"/>
  <c r="Q17" i="4"/>
  <c r="L18" i="4"/>
  <c r="I17" i="4"/>
  <c r="J17" i="4"/>
  <c r="L17" i="4" s="1"/>
  <c r="K17" i="4"/>
  <c r="C17" i="4"/>
  <c r="D17" i="4"/>
  <c r="E17" i="4"/>
  <c r="U15" i="3"/>
  <c r="C15" i="3"/>
  <c r="D31" i="5"/>
  <c r="D30" i="5"/>
  <c r="F17" i="4" l="1"/>
  <c r="G64" i="5"/>
  <c r="J64" i="5"/>
  <c r="M64" i="5"/>
  <c r="P64" i="5"/>
  <c r="G59" i="5"/>
  <c r="J59" i="5"/>
  <c r="M59" i="5"/>
  <c r="P59" i="5"/>
  <c r="G54" i="5"/>
  <c r="J54" i="5"/>
  <c r="M54" i="5"/>
  <c r="P54" i="5"/>
  <c r="G49" i="5"/>
  <c r="J49" i="5"/>
  <c r="M49" i="5"/>
  <c r="P49" i="5"/>
  <c r="P44" i="5"/>
  <c r="J44" i="5"/>
  <c r="M44" i="5"/>
  <c r="J39" i="5"/>
  <c r="M39" i="5"/>
  <c r="P39" i="5"/>
  <c r="G44" i="5"/>
  <c r="G39" i="5"/>
  <c r="D64" i="5"/>
  <c r="D59" i="5"/>
  <c r="D54" i="5"/>
  <c r="D49" i="5"/>
  <c r="D44" i="5"/>
  <c r="D39" i="5"/>
  <c r="R24" i="4"/>
  <c r="R25" i="4"/>
  <c r="R26" i="4"/>
  <c r="R23" i="4"/>
  <c r="L24" i="4"/>
  <c r="L25" i="4"/>
  <c r="L26" i="4"/>
  <c r="L23" i="4"/>
  <c r="F24" i="4"/>
  <c r="F25" i="4"/>
  <c r="F26" i="4"/>
  <c r="F23" i="4"/>
  <c r="F18" i="4"/>
  <c r="R8" i="4"/>
  <c r="R9" i="4"/>
  <c r="R10" i="4"/>
  <c r="R11" i="4"/>
  <c r="R12" i="4"/>
  <c r="R13" i="4"/>
  <c r="R14" i="4"/>
  <c r="R15" i="4"/>
  <c r="R16" i="4"/>
  <c r="R7" i="4"/>
  <c r="R6" i="4"/>
  <c r="R5" i="4"/>
  <c r="L7" i="4"/>
  <c r="L8" i="4"/>
  <c r="L9" i="4"/>
  <c r="L10" i="4"/>
  <c r="L11" i="4"/>
  <c r="L12" i="4"/>
  <c r="L13" i="4"/>
  <c r="L14" i="4"/>
  <c r="L15" i="4"/>
  <c r="L16" i="4"/>
  <c r="L6" i="4"/>
  <c r="L5" i="4"/>
  <c r="F8" i="4"/>
  <c r="F9" i="4"/>
  <c r="F10" i="4"/>
  <c r="F11" i="4"/>
  <c r="F12" i="4"/>
  <c r="F13" i="4"/>
  <c r="F14" i="4"/>
  <c r="F15" i="4"/>
  <c r="F16" i="4"/>
  <c r="F7" i="4"/>
  <c r="F6" i="4"/>
  <c r="F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020" type="6" refreshedVersion="3" background="1" saveData="1">
    <textPr codePage="437" sourceFile="D:\RS\IEEE\New city\2020.csv" tab="0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20201" type="6" refreshedVersion="3" background="1" saveData="1">
    <textPr codePage="437" sourceFile="D:\RS\IEEE\Old city\2020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2000000}" name="April" type="6" refreshedVersion="3" background="1" saveData="1">
    <textPr codePage="437" sourceFile="D:\RS\IEEE\New city\April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00000000-0015-0000-FFFF-FFFF03000000}" name="April 2020" type="6" refreshedVersion="3" background="1" saveData="1">
    <textPr codePage="437" sourceFile="D:\RS\IEEE\Old city\April 2020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00000000-0015-0000-FFFF-FFFF04000000}" name="August" type="6" refreshedVersion="3" background="1" saveData="1">
    <textPr codePage="437" sourceFile="D:\RS\IEEE\Old city\August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00000000-0015-0000-FFFF-FFFF05000000}" name="December" type="6" refreshedVersion="3" background="1" saveData="1">
    <textPr codePage="437" sourceFile="D:\RS\IEEE\New city\December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00000000-0015-0000-FFFF-FFFF06000000}" name="December1" type="6" refreshedVersion="3" background="1" saveData="1">
    <textPr codePage="437" sourceFile="D:\RS\IEEE\Old city\December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xr16:uid="{00000000-0015-0000-FFFF-FFFF07000000}" name="February" type="6" refreshedVersion="3" background="1" saveData="1">
    <textPr codePage="437" sourceFile="D:\RS\IEEE\New city\February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xr16:uid="{00000000-0015-0000-FFFF-FFFF08000000}" name="February1" type="6" refreshedVersion="3" background="1" saveData="1">
    <textPr codePage="437" sourceFile="D:\RS\IEEE\Old city\February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xr16:uid="{00000000-0015-0000-FFFF-FFFF09000000}" name="January" type="6" refreshedVersion="3" background="1" saveData="1">
    <textPr codePage="437" sourceFile="D:\RS\IEEE\New city\January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xr16:uid="{00000000-0015-0000-FFFF-FFFF0A000000}" name="January1" type="6" refreshedVersion="3" background="1" saveData="1">
    <textPr codePage="437" sourceFile="D:\RS\IEEE\Old city\January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" xr16:uid="{00000000-0015-0000-FFFF-FFFF0B000000}" name="July" type="6" refreshedVersion="3" background="1" saveData="1">
    <textPr codePage="437" sourceFile="D:\RS\IEEE\New city\July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" xr16:uid="{00000000-0015-0000-FFFF-FFFF0C000000}" name="July1" type="6" refreshedVersion="3" background="1" saveData="1">
    <textPr codePage="437" sourceFile="D:\RS\IEEE\New city\July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" xr16:uid="{00000000-0015-0000-FFFF-FFFF0D000000}" name="July2" type="6" refreshedVersion="3" background="1" saveData="1">
    <textPr codePage="437" sourceFile="D:\RS\IEEE\Old city\July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" xr16:uid="{00000000-0015-0000-FFFF-FFFF0E000000}" name="June" type="6" refreshedVersion="3" background="1" saveData="1">
    <textPr codePage="437" sourceFile="D:\RS\IEEE\New city\June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" xr16:uid="{00000000-0015-0000-FFFF-FFFF0F000000}" name="June1" type="6" refreshedVersion="3" background="1" saveData="1">
    <textPr codePage="437" sourceFile="D:\RS\IEEE\Old city\June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7" xr16:uid="{00000000-0015-0000-FFFF-FFFF10000000}" name="March" type="6" refreshedVersion="3" background="1" saveData="1">
    <textPr codePage="437" sourceFile="D:\RS\IEEE\New city\March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8" xr16:uid="{00000000-0015-0000-FFFF-FFFF11000000}" name="March1" type="6" refreshedVersion="3" background="1" saveData="1">
    <textPr codePage="437" sourceFile="D:\RS\IEEE\Old city\March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9" xr16:uid="{00000000-0015-0000-FFFF-FFFF12000000}" name="May" type="6" refreshedVersion="3" background="1" saveData="1">
    <textPr codePage="437" sourceFile="D:\RS\IEEE\New city\May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0" xr16:uid="{00000000-0015-0000-FFFF-FFFF13000000}" name="May1" type="6" refreshedVersion="3" background="1" saveData="1">
    <textPr codePage="437" sourceFile="D:\RS\IEEE\Old city\May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1" xr16:uid="{00000000-0015-0000-FFFF-FFFF14000000}" name="Monsoon" type="6" refreshedVersion="3" background="1" saveData="1">
    <textPr codePage="437" sourceFile="D:\RS\IEEE\New city\Monsoon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2" xr16:uid="{00000000-0015-0000-FFFF-FFFF15000000}" name="Monsoon1" type="6" refreshedVersion="3" background="1" saveData="1">
    <textPr codePage="437" sourceFile="D:\RS\IEEE\Old city\Monsoon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3" xr16:uid="{00000000-0015-0000-FFFF-FFFF16000000}" name="November" type="6" refreshedVersion="3" background="1" saveData="1">
    <textPr codePage="437" sourceFile="D:\RS\IEEE\New city\November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4" xr16:uid="{00000000-0015-0000-FFFF-FFFF17000000}" name="November1" type="6" refreshedVersion="3" background="1" saveData="1">
    <textPr codePage="437" sourceFile="D:\RS\IEEE\Old city\November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5" xr16:uid="{00000000-0015-0000-FFFF-FFFF18000000}" name="October" type="6" refreshedVersion="3" background="1" saveData="1">
    <textPr codePage="437" sourceFile="D:\RS\IEEE\New city\October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6" xr16:uid="{00000000-0015-0000-FFFF-FFFF19000000}" name="October1" type="6" refreshedVersion="3" background="1" saveData="1">
    <textPr codePage="437" sourceFile="D:\RS\IEEE\Old city\October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7" xr16:uid="{00000000-0015-0000-FFFF-FFFF1A000000}" name="Post monsoon" type="6" refreshedVersion="3" background="1" saveData="1">
    <textPr codePage="437" sourceFile="D:\RS\IEEE\New city\Post monsoon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8" xr16:uid="{00000000-0015-0000-FFFF-FFFF1B000000}" name="Post monsoon1" type="6" refreshedVersion="3" background="1" saveData="1">
    <textPr codePage="437" sourceFile="D:\RS\IEEE\Old city\Post monsoon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9" xr16:uid="{00000000-0015-0000-FFFF-FFFF1C000000}" name="Post monsoon2" type="6" refreshedVersion="3" background="1" saveData="1">
    <textPr codePage="437" firstRow="2" sourceFile="D:\RS\IEEE\LST(Median)\Post monsoon.csv" tab="0" comma="1">
      <textFields count="26">
        <textField type="skip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 type="skip"/>
      </textFields>
    </textPr>
  </connection>
  <connection id="30" xr16:uid="{00000000-0015-0000-FFFF-FFFF1D000000}" name="Pre monsoon" type="6" refreshedVersion="3" background="1" saveData="1">
    <textPr codePage="437" sourceFile="D:\RS\IEEE\New city\Pre monsoon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1" xr16:uid="{00000000-0015-0000-FFFF-FFFF1E000000}" name="Pre monsoon1" type="6" refreshedVersion="3" background="1" saveData="1">
    <textPr codePage="437" sourceFile="D:\RS\IEEE\Old city\Pre monsoon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2" xr16:uid="{00000000-0015-0000-FFFF-FFFF1F000000}" name="September" type="6" refreshedVersion="3" background="1" saveData="1">
    <textPr codePage="437" sourceFile="D:\RS\IEEE\New city\September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3" xr16:uid="{00000000-0015-0000-FFFF-FFFF20000000}" name="September1" type="6" refreshedVersion="3" background="1" saveData="1">
    <textPr codePage="437" sourceFile="D:\RS\IEEE\Old city\September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4" xr16:uid="{00000000-0015-0000-FFFF-FFFF21000000}" name="Summer" type="6" refreshedVersion="3" background="1" saveData="1">
    <textPr codePage="437" firstRow="2" sourceFile="D:\RS\IEEE\LST(Median)\Summer.csv" tab="0" comma="1">
      <textFields count="26">
        <textField type="skip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 type="skip"/>
      </textFields>
    </textPr>
  </connection>
  <connection id="35" xr16:uid="{00000000-0015-0000-FFFF-FFFF22000000}" name="Winter" type="6" refreshedVersion="3" background="1" saveData="1">
    <textPr codePage="437" sourceFile="D:\RS\IEEE\New city\Winter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6" xr16:uid="{00000000-0015-0000-FFFF-FFFF23000000}" name="Winter1" type="6" refreshedVersion="3" background="1" saveData="1">
    <textPr codePage="437" sourceFile="D:\RS\IEEE\Old city\Winter.csv" tab="0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<sst xmlns="http://schemas.openxmlformats.org/spreadsheetml/2006/main" count="358" uniqueCount="88">
  <si>
    <t>max_BT</t>
  </si>
  <si>
    <t>max_LST</t>
  </si>
  <si>
    <t>max_em</t>
  </si>
  <si>
    <t>max_fv</t>
  </si>
  <si>
    <t>max_ndbi</t>
  </si>
  <si>
    <t>max_ndvi</t>
  </si>
  <si>
    <t>max_ndwi</t>
  </si>
  <si>
    <t>max_nmdi</t>
  </si>
  <si>
    <t>meanBT</t>
  </si>
  <si>
    <t>meanEm</t>
  </si>
  <si>
    <t>meanFV</t>
  </si>
  <si>
    <t>meanLST</t>
  </si>
  <si>
    <t>meanNDBI</t>
  </si>
  <si>
    <t>meanNDVI</t>
  </si>
  <si>
    <t>meanNDWI</t>
  </si>
  <si>
    <t>meanNMDI</t>
  </si>
  <si>
    <t>min_BT</t>
  </si>
  <si>
    <t>min_LST</t>
  </si>
  <si>
    <t>min_em</t>
  </si>
  <si>
    <t>min_fv</t>
  </si>
  <si>
    <t>min_ndbi</t>
  </si>
  <si>
    <t>min_ndvi</t>
  </si>
  <si>
    <t>min_ndwi</t>
  </si>
  <si>
    <t>min_nmdi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</si>
  <si>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</si>
  <si>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</si>
  <si>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</si>
  <si>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</si>
  <si>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</si>
  <si>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</si>
  <si>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</si>
  <si>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</si>
  <si>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</si>
  <si>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</si>
  <si>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</si>
  <si>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</si>
  <si>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Seasons</t>
  </si>
  <si>
    <t>Winter</t>
  </si>
  <si>
    <t>Pre monsoon</t>
  </si>
  <si>
    <t>Monsoon</t>
  </si>
  <si>
    <t xml:space="preserve">Post monsoon </t>
  </si>
  <si>
    <t>Months</t>
  </si>
  <si>
    <t>Premonsoon</t>
  </si>
  <si>
    <t>Postmonsoon</t>
  </si>
  <si>
    <t>MEAN LST</t>
  </si>
  <si>
    <t>MIN LST</t>
  </si>
  <si>
    <t>MAX LST</t>
  </si>
  <si>
    <t>New city</t>
  </si>
  <si>
    <t xml:space="preserve">Old city </t>
  </si>
  <si>
    <t>Whole city</t>
  </si>
  <si>
    <t>Difference</t>
  </si>
  <si>
    <t>LST</t>
  </si>
  <si>
    <t>Study area</t>
  </si>
  <si>
    <t>Min. LST</t>
  </si>
  <si>
    <t>Max. LST</t>
  </si>
  <si>
    <t>Mean LST.</t>
  </si>
  <si>
    <t>Old city</t>
  </si>
  <si>
    <t>% more than new</t>
  </si>
  <si>
    <t>Pre-monsoon</t>
  </si>
  <si>
    <t>Post-monsoon</t>
  </si>
  <si>
    <t>Year 2020</t>
  </si>
  <si>
    <t>NDVI</t>
  </si>
  <si>
    <t>Min. NDVI</t>
  </si>
  <si>
    <t>Max. NDVI</t>
  </si>
  <si>
    <t>Mean NDVI</t>
  </si>
  <si>
    <t>Min. NDBI</t>
  </si>
  <si>
    <t>Max. NDBI</t>
  </si>
  <si>
    <t>Mean NDBI</t>
  </si>
  <si>
    <t>2020 Whole year</t>
  </si>
  <si>
    <t>R</t>
  </si>
  <si>
    <r>
      <t>R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</si>
  <si>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LST-NDVI</t>
  </si>
  <si>
    <t>LST-NDBI</t>
  </si>
  <si>
    <t>LST-NDWI</t>
  </si>
  <si>
    <t>LST-NMDI</t>
  </si>
  <si>
    <t>LST-FV</t>
  </si>
  <si>
    <t>LST-BT</t>
  </si>
  <si>
    <t>NDVI-NDBI</t>
  </si>
  <si>
    <t>Mean LST</t>
  </si>
  <si>
    <t>Mean BT</t>
  </si>
  <si>
    <t>Mean NDWI</t>
  </si>
  <si>
    <t>Mean NMDI</t>
  </si>
  <si>
    <t>XL Toolbox Settings</t>
  </si>
  <si>
    <t>export_preset</t>
  </si>
  <si>
    <t>&lt;?xml version="1.0" encoding="utf-16"?&gt;_x000D_
&lt;Preset xmlns:xsd="http://www.w3.org/2001/XMLSchema" xmlns:xsi="http://www.w3.org/2001/XMLSchema-instance"&gt;_x000D_
  &lt;Name&gt;Png, 300 dpi, RGB, Transparent canvas&lt;/Name&gt;_x000D_
  &lt;Dpi&gt;300&lt;/Dpi&gt;_x000D_
  &lt;FileType&gt;Png&lt;/FileType&gt;_x000D_
  &lt;ColorSpace&gt;Rgb&lt;/ColorSpace&gt;_x000D_
  &lt;Transparency&gt;TransparentCanvas&lt;/Transparency&gt;_x000D_
  &lt;UseColorProfile&gt;false&lt;/UseColorProfile&gt;_x000D_
  &lt;ColorProfile&gt;sRGB Color Space Profile&lt;/ColorProfile&gt;_x000D_
&lt;/Preset&gt;</t>
  </si>
  <si>
    <t>export_path</t>
  </si>
  <si>
    <t>C:\Users\Divya Kotia\OneDrive\Desktop\LST_NDBI_Months.png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</si>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</sst>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11" fontId="0" fillId="0" borderId="0" xfId="0" applyNumberFormat="1"/>
    <xf numFmtId="0" fontId="1" fillId="0" borderId="0" xfId="0" applyFont="1"/>
    <xf numFmtId="11" fontId="1" fillId="0" borderId="0" xfId="0" applyNumberFormat="1" applyFont="1"/>
    <xf numFmtId="0" fontId="0" fillId="0" borderId="0" xfId="0" applyAlignment="1">
      <alignment horizontal="left" vertical="center"/>
    </xf>
    <xf numFmtId="11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0" fillId="2" borderId="2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0" xfId="0" applyFill="1"/>
    <xf numFmtId="0" fontId="4" fillId="4" borderId="0" xfId="0" applyFont="1" applyFill="1" applyAlignment="1">
      <alignment horizontal="center"/>
    </xf>
    <xf numFmtId="0" fontId="4" fillId="4" borderId="0" xfId="0" applyFont="1" applyFill="1"/>
    <xf numFmtId="0" fontId="0" fillId="0" borderId="0" xfId="0" applyAlignment="1">
      <alignment wrapText="1"/>
    </xf>
    <xf numFmtId="2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NDVI-NDBI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NDVI (New)</c:v>
          </c:tx>
          <c:marker>
            <c:symbol val="none"/>
          </c:marker>
          <c:cat>
            <c:strRef>
              <c:f>'New city'!$A$3:$A$14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'New city'!$P$3:$P$14</c:f>
              <c:numCache>
                <c:formatCode>General</c:formatCode>
                <c:ptCount val="12"/>
                <c:pt idx="0">
                  <c:v>0.27734977859988802</c:v>
                </c:pt>
                <c:pt idx="1">
                  <c:v>0.253863455225533</c:v>
                </c:pt>
                <c:pt idx="2">
                  <c:v>0.25389750301185798</c:v>
                </c:pt>
                <c:pt idx="3">
                  <c:v>0.26168791886856102</c:v>
                </c:pt>
                <c:pt idx="4">
                  <c:v>0.24806851067323901</c:v>
                </c:pt>
                <c:pt idx="5">
                  <c:v>0.27736163519580198</c:v>
                </c:pt>
                <c:pt idx="6">
                  <c:v>0.42578866928577802</c:v>
                </c:pt>
                <c:pt idx="7">
                  <c:v>0.42578866928577802</c:v>
                </c:pt>
                <c:pt idx="8">
                  <c:v>0.50390932530688204</c:v>
                </c:pt>
                <c:pt idx="9">
                  <c:v>0.37893384639704503</c:v>
                </c:pt>
                <c:pt idx="10">
                  <c:v>0.31635581717730998</c:v>
                </c:pt>
                <c:pt idx="11">
                  <c:v>0.30862273483501002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67-4FBA-BD49-3B75DBA37283}"/>
            </c:ext>
          </c:extLst>
        </c:ser>
        <c:ser>
          <c:idx val="1"/>
          <c:order val="1"/>
          <c:tx>
            <c:v>NDVI (Old)</c:v>
          </c:tx>
          <c:marker>
            <c:symbol val="none"/>
          </c:marker>
          <c:cat>
            <c:strRef>
              <c:f>'New city'!$A$3:$A$14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'Old city'!$P$2:$P$13</c:f>
              <c:numCache>
                <c:formatCode>General</c:formatCode>
                <c:ptCount val="12"/>
                <c:pt idx="0">
                  <c:v>0.199177628530842</c:v>
                </c:pt>
                <c:pt idx="1">
                  <c:v>0.18353578793807199</c:v>
                </c:pt>
                <c:pt idx="2">
                  <c:v>0.19140752459417601</c:v>
                </c:pt>
                <c:pt idx="3">
                  <c:v>0.19922981132145001</c:v>
                </c:pt>
                <c:pt idx="4">
                  <c:v>0.19332830672408199</c:v>
                </c:pt>
                <c:pt idx="5">
                  <c:v>0.21680732140710901</c:v>
                </c:pt>
                <c:pt idx="6">
                  <c:v>0.33981834920965598</c:v>
                </c:pt>
                <c:pt idx="7">
                  <c:v>0.29292785025443002</c:v>
                </c:pt>
                <c:pt idx="8">
                  <c:v>0.37889285087459801</c:v>
                </c:pt>
                <c:pt idx="9">
                  <c:v>0.269414915472653</c:v>
                </c:pt>
                <c:pt idx="10">
                  <c:v>0.23044815944122399</c:v>
                </c:pt>
                <c:pt idx="11">
                  <c:v>0.214868418725984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67-4FBA-BD49-3B75DBA37283}"/>
            </c:ext>
          </c:extLst>
        </c:ser>
        <c:ser>
          <c:idx val="2"/>
          <c:order val="2"/>
          <c:tx>
            <c:v>NDBI (New)</c:v>
          </c:tx>
          <c:marker>
            <c:symbol val="none"/>
          </c:marker>
          <c:cat>
            <c:strRef>
              <c:f>'New city'!$A$3:$A$14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'New city'!$O$3:$O$14</c:f>
              <c:numCache>
                <c:formatCode>General</c:formatCode>
                <c:ptCount val="12"/>
                <c:pt idx="0">
                  <c:v>-1.9509794130203099E-2</c:v>
                </c:pt>
                <c:pt idx="1">
                  <c:v>3.8763720928247699E-3</c:v>
                </c:pt>
                <c:pt idx="2">
                  <c:v>1.91435814777255E-3</c:v>
                </c:pt>
                <c:pt idx="3">
                  <c:v>-9.7580474633021108E-3</c:v>
                </c:pt>
                <c:pt idx="4">
                  <c:v>-9.7683113736951495E-3</c:v>
                </c:pt>
                <c:pt idx="5">
                  <c:v>-3.7083815348934498E-2</c:v>
                </c:pt>
                <c:pt idx="6">
                  <c:v>-0.128894385159699</c:v>
                </c:pt>
                <c:pt idx="7">
                  <c:v>-0.128894385159699</c:v>
                </c:pt>
                <c:pt idx="8">
                  <c:v>-0.158209278240797</c:v>
                </c:pt>
                <c:pt idx="9">
                  <c:v>-7.6183458877711302E-2</c:v>
                </c:pt>
                <c:pt idx="10">
                  <c:v>-2.73042146323699E-2</c:v>
                </c:pt>
                <c:pt idx="11">
                  <c:v>-2.72588670557295E-2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67-4FBA-BD49-3B75DBA37283}"/>
            </c:ext>
          </c:extLst>
        </c:ser>
        <c:ser>
          <c:idx val="3"/>
          <c:order val="3"/>
          <c:tx>
            <c:v>NDBI (Old)</c:v>
          </c:tx>
          <c:marker>
            <c:symbol val="none"/>
          </c:marker>
          <c:cat>
            <c:strRef>
              <c:f>'New city'!$A$3:$A$14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'Old city'!$O$2:$O$13</c:f>
              <c:numCache>
                <c:formatCode>General</c:formatCode>
                <c:ptCount val="12"/>
                <c:pt idx="0">
                  <c:v>1.3666760789067299E-2</c:v>
                </c:pt>
                <c:pt idx="1">
                  <c:v>2.74116462146556E-2</c:v>
                </c:pt>
                <c:pt idx="2">
                  <c:v>2.5404310286630601E-2</c:v>
                </c:pt>
                <c:pt idx="3">
                  <c:v>1.36946473057682E-2</c:v>
                </c:pt>
                <c:pt idx="4">
                  <c:v>9.7852738631237692E-3</c:v>
                </c:pt>
                <c:pt idx="5">
                  <c:v>-5.8395858818888098E-3</c:v>
                </c:pt>
                <c:pt idx="6">
                  <c:v>-8.1987372278320994E-2</c:v>
                </c:pt>
                <c:pt idx="7">
                  <c:v>-6.6350569495647105E-2</c:v>
                </c:pt>
                <c:pt idx="8">
                  <c:v>-7.2213080384759307E-2</c:v>
                </c:pt>
                <c:pt idx="9">
                  <c:v>-2.1452101611897399E-2</c:v>
                </c:pt>
                <c:pt idx="10">
                  <c:v>1.1772901931174799E-2</c:v>
                </c:pt>
                <c:pt idx="11">
                  <c:v>1.1798252730555301E-2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67-4FBA-BD49-3B75DBA37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030336"/>
        <c:axId val="78031872"/>
      </c:lineChart>
      <c:catAx>
        <c:axId val="78030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78031872"/>
        <c:crosses val="autoZero"/>
        <c:auto val="1"/>
        <c:lblAlgn val="ctr"/>
        <c:lblOffset val="100"/>
        <c:noMultiLvlLbl val="0"/>
      </c:catAx>
      <c:valAx>
        <c:axId val="78031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NDVI</a:t>
                </a:r>
                <a:r>
                  <a:rPr lang="en-US" baseline="0"/>
                  <a:t> &amp; NDBI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03033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LST &amp; NDVI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v>LST (New)</c:v>
          </c:tx>
          <c:invertIfNegative val="0"/>
          <c:cat>
            <c:strRef>
              <c:f>'New city'!$A$3:$A$14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'New city'!$N$3:$N$14</c:f>
              <c:numCache>
                <c:formatCode>General</c:formatCode>
                <c:ptCount val="12"/>
                <c:pt idx="0">
                  <c:v>24.267216227511</c:v>
                </c:pt>
                <c:pt idx="1">
                  <c:v>29.211967339985499</c:v>
                </c:pt>
                <c:pt idx="2">
                  <c:v>33.186363552419202</c:v>
                </c:pt>
                <c:pt idx="3">
                  <c:v>40.687321286906503</c:v>
                </c:pt>
                <c:pt idx="4">
                  <c:v>40.281513120795601</c:v>
                </c:pt>
                <c:pt idx="5">
                  <c:v>28.838691830473898</c:v>
                </c:pt>
                <c:pt idx="6">
                  <c:v>25.843433592330101</c:v>
                </c:pt>
                <c:pt idx="7">
                  <c:v>25.843433592330101</c:v>
                </c:pt>
                <c:pt idx="8">
                  <c:v>25.471550291415799</c:v>
                </c:pt>
                <c:pt idx="9">
                  <c:v>31.905719627754301</c:v>
                </c:pt>
                <c:pt idx="10">
                  <c:v>27.9074270744279</c:v>
                </c:pt>
                <c:pt idx="11">
                  <c:v>27.1583918692148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40-43C4-96C2-CEF8371A1DE0}"/>
            </c:ext>
          </c:extLst>
        </c:ser>
        <c:ser>
          <c:idx val="3"/>
          <c:order val="3"/>
          <c:tx>
            <c:v>LST(Old)</c:v>
          </c:tx>
          <c:invertIfNegative val="0"/>
          <c:cat>
            <c:strRef>
              <c:f>'New city'!$A$3:$A$14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'Old city'!$N$2:$N$13</c:f>
              <c:numCache>
                <c:formatCode>General</c:formatCode>
                <c:ptCount val="12"/>
                <c:pt idx="0">
                  <c:v>24.844077982293999</c:v>
                </c:pt>
                <c:pt idx="1">
                  <c:v>29.333304321365301</c:v>
                </c:pt>
                <c:pt idx="2">
                  <c:v>33.9440134314546</c:v>
                </c:pt>
                <c:pt idx="3">
                  <c:v>41.436021753585898</c:v>
                </c:pt>
                <c:pt idx="4">
                  <c:v>41.312808846758699</c:v>
                </c:pt>
                <c:pt idx="5">
                  <c:v>29.176971669048001</c:v>
                </c:pt>
                <c:pt idx="6">
                  <c:v>26.153715475961601</c:v>
                </c:pt>
                <c:pt idx="7">
                  <c:v>27.525882735286402</c:v>
                </c:pt>
                <c:pt idx="8">
                  <c:v>26.0992876330602</c:v>
                </c:pt>
                <c:pt idx="9">
                  <c:v>32.778728904437997</c:v>
                </c:pt>
                <c:pt idx="10">
                  <c:v>28.524484494063099</c:v>
                </c:pt>
                <c:pt idx="11">
                  <c:v>27.842746321863999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40-43C4-96C2-CEF8371A1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040384"/>
        <c:axId val="109298816"/>
      </c:barChart>
      <c:lineChart>
        <c:grouping val="standard"/>
        <c:varyColors val="0"/>
        <c:ser>
          <c:idx val="0"/>
          <c:order val="0"/>
          <c:tx>
            <c:v>NDVI (New)</c:v>
          </c:tx>
          <c:marker>
            <c:symbol val="none"/>
          </c:marker>
          <c:cat>
            <c:strRef>
              <c:f>'New city'!$A$3:$A$14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'New city'!$P$3:$P$14</c:f>
              <c:numCache>
                <c:formatCode>General</c:formatCode>
                <c:ptCount val="12"/>
                <c:pt idx="0">
                  <c:v>0.27734977859988802</c:v>
                </c:pt>
                <c:pt idx="1">
                  <c:v>0.253863455225533</c:v>
                </c:pt>
                <c:pt idx="2">
                  <c:v>0.25389750301185798</c:v>
                </c:pt>
                <c:pt idx="3">
                  <c:v>0.26168791886856102</c:v>
                </c:pt>
                <c:pt idx="4">
                  <c:v>0.24806851067323901</c:v>
                </c:pt>
                <c:pt idx="5">
                  <c:v>0.27736163519580198</c:v>
                </c:pt>
                <c:pt idx="6">
                  <c:v>0.42578866928577802</c:v>
                </c:pt>
                <c:pt idx="7">
                  <c:v>0.42578866928577802</c:v>
                </c:pt>
                <c:pt idx="8">
                  <c:v>0.50390932530688204</c:v>
                </c:pt>
                <c:pt idx="9">
                  <c:v>0.37893384639704503</c:v>
                </c:pt>
                <c:pt idx="10">
                  <c:v>0.31635581717730998</c:v>
                </c:pt>
                <c:pt idx="11">
                  <c:v>0.30862273483501002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40-43C4-96C2-CEF8371A1DE0}"/>
            </c:ext>
          </c:extLst>
        </c:ser>
        <c:ser>
          <c:idx val="1"/>
          <c:order val="1"/>
          <c:tx>
            <c:v>NDVI (Old)</c:v>
          </c:tx>
          <c:marker>
            <c:symbol val="none"/>
          </c:marker>
          <c:cat>
            <c:strRef>
              <c:f>'New city'!$A$3:$A$14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'Old city'!$P$2:$P$13</c:f>
              <c:numCache>
                <c:formatCode>General</c:formatCode>
                <c:ptCount val="12"/>
                <c:pt idx="0">
                  <c:v>0.199177628530842</c:v>
                </c:pt>
                <c:pt idx="1">
                  <c:v>0.18353578793807199</c:v>
                </c:pt>
                <c:pt idx="2">
                  <c:v>0.19140752459417601</c:v>
                </c:pt>
                <c:pt idx="3">
                  <c:v>0.19922981132145001</c:v>
                </c:pt>
                <c:pt idx="4">
                  <c:v>0.19332830672408199</c:v>
                </c:pt>
                <c:pt idx="5">
                  <c:v>0.21680732140710901</c:v>
                </c:pt>
                <c:pt idx="6">
                  <c:v>0.33981834920965598</c:v>
                </c:pt>
                <c:pt idx="7">
                  <c:v>0.29292785025443002</c:v>
                </c:pt>
                <c:pt idx="8">
                  <c:v>0.37889285087459801</c:v>
                </c:pt>
                <c:pt idx="9">
                  <c:v>0.269414915472653</c:v>
                </c:pt>
                <c:pt idx="10">
                  <c:v>0.23044815944122399</c:v>
                </c:pt>
                <c:pt idx="11">
                  <c:v>0.214868418725984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40-43C4-96C2-CEF8371A1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016384"/>
        <c:axId val="150770048"/>
      </c:lineChart>
      <c:catAx>
        <c:axId val="109040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09298816"/>
        <c:crosses val="autoZero"/>
        <c:auto val="1"/>
        <c:lblAlgn val="ctr"/>
        <c:lblOffset val="100"/>
        <c:noMultiLvlLbl val="0"/>
      </c:catAx>
      <c:valAx>
        <c:axId val="109298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LST(C°)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09040384"/>
        <c:crosses val="autoZero"/>
        <c:crossBetween val="between"/>
      </c:valAx>
      <c:valAx>
        <c:axId val="150770048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NDVI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50016384"/>
        <c:crosses val="max"/>
        <c:crossBetween val="between"/>
      </c:valAx>
      <c:catAx>
        <c:axId val="1500163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770048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zero"/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Mean LST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New city</c:v>
          </c:tx>
          <c:invertIfNegative val="0"/>
          <c:cat>
            <c:strRef>
              <c:f>'Whole city'!$A$3:$A$14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'New city'!$N$3:$N$14</c:f>
              <c:numCache>
                <c:formatCode>General</c:formatCode>
                <c:ptCount val="12"/>
                <c:pt idx="0">
                  <c:v>24.267216227511</c:v>
                </c:pt>
                <c:pt idx="1">
                  <c:v>29.211967339985499</c:v>
                </c:pt>
                <c:pt idx="2">
                  <c:v>33.186363552419202</c:v>
                </c:pt>
                <c:pt idx="3">
                  <c:v>40.687321286906503</c:v>
                </c:pt>
                <c:pt idx="4">
                  <c:v>40.281513120795601</c:v>
                </c:pt>
                <c:pt idx="5">
                  <c:v>28.838691830473898</c:v>
                </c:pt>
                <c:pt idx="6">
                  <c:v>25.843433592330101</c:v>
                </c:pt>
                <c:pt idx="7">
                  <c:v>25.843433592330101</c:v>
                </c:pt>
                <c:pt idx="8">
                  <c:v>25.471550291415799</c:v>
                </c:pt>
                <c:pt idx="9">
                  <c:v>31.905719627754301</c:v>
                </c:pt>
                <c:pt idx="10">
                  <c:v>27.9074270744279</c:v>
                </c:pt>
                <c:pt idx="11">
                  <c:v>27.1583918692148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E0-45A7-868D-78E8BE4FF54A}"/>
            </c:ext>
          </c:extLst>
        </c:ser>
        <c:ser>
          <c:idx val="1"/>
          <c:order val="1"/>
          <c:tx>
            <c:v>Old city</c:v>
          </c:tx>
          <c:invertIfNegative val="0"/>
          <c:cat>
            <c:strRef>
              <c:f>'Whole city'!$A$3:$A$14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'Old city'!$N$2:$N$13</c:f>
              <c:numCache>
                <c:formatCode>General</c:formatCode>
                <c:ptCount val="12"/>
                <c:pt idx="0">
                  <c:v>24.844077982293999</c:v>
                </c:pt>
                <c:pt idx="1">
                  <c:v>29.333304321365301</c:v>
                </c:pt>
                <c:pt idx="2">
                  <c:v>33.9440134314546</c:v>
                </c:pt>
                <c:pt idx="3">
                  <c:v>41.436021753585898</c:v>
                </c:pt>
                <c:pt idx="4">
                  <c:v>41.312808846758699</c:v>
                </c:pt>
                <c:pt idx="5">
                  <c:v>29.176971669048001</c:v>
                </c:pt>
                <c:pt idx="6">
                  <c:v>26.153715475961601</c:v>
                </c:pt>
                <c:pt idx="7">
                  <c:v>27.525882735286402</c:v>
                </c:pt>
                <c:pt idx="8">
                  <c:v>26.0992876330602</c:v>
                </c:pt>
                <c:pt idx="9">
                  <c:v>32.778728904437997</c:v>
                </c:pt>
                <c:pt idx="10">
                  <c:v>28.524484494063099</c:v>
                </c:pt>
                <c:pt idx="11">
                  <c:v>27.842746321863999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E0-45A7-868D-78E8BE4FF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3"/>
        <c:overlap val="1"/>
        <c:axId val="148148224"/>
        <c:axId val="148149760"/>
      </c:barChart>
      <c:lineChart>
        <c:grouping val="standard"/>
        <c:varyColors val="0"/>
        <c:ser>
          <c:idx val="2"/>
          <c:order val="2"/>
          <c:tx>
            <c:v>Whole city</c:v>
          </c:tx>
          <c:marker>
            <c:symbol val="none"/>
          </c:marker>
          <c:cat>
            <c:strRef>
              <c:f>'Whole city'!$A$3:$A$14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'Whole city'!$N$3:$N$14</c:f>
              <c:numCache>
                <c:formatCode>General</c:formatCode>
                <c:ptCount val="12"/>
                <c:pt idx="0">
                  <c:v>24.564941680942951</c:v>
                </c:pt>
                <c:pt idx="1">
                  <c:v>28.157245334088049</c:v>
                </c:pt>
                <c:pt idx="2">
                  <c:v>33.9994428761905</c:v>
                </c:pt>
                <c:pt idx="3">
                  <c:v>40.561778540907298</c:v>
                </c:pt>
                <c:pt idx="4">
                  <c:v>40.812480396693502</c:v>
                </c:pt>
                <c:pt idx="5">
                  <c:v>29.05</c:v>
                </c:pt>
                <c:pt idx="6">
                  <c:v>26.16225474848715</c:v>
                </c:pt>
                <c:pt idx="7">
                  <c:v>27.2829536786438</c:v>
                </c:pt>
                <c:pt idx="8">
                  <c:v>25.656699687385601</c:v>
                </c:pt>
                <c:pt idx="9">
                  <c:v>31.999902532551303</c:v>
                </c:pt>
                <c:pt idx="10">
                  <c:v>28.216279068259499</c:v>
                </c:pt>
                <c:pt idx="11">
                  <c:v>27.99755995281815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E0-45A7-868D-78E8BE4FF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148224"/>
        <c:axId val="148149760"/>
      </c:lineChart>
      <c:catAx>
        <c:axId val="148148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8149760"/>
        <c:crosses val="autoZero"/>
        <c:auto val="1"/>
        <c:lblAlgn val="ctr"/>
        <c:lblOffset val="100"/>
        <c:noMultiLvlLbl val="0"/>
      </c:catAx>
      <c:valAx>
        <c:axId val="1481497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LST(C°)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814822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</a:ln>
    <a:effectLst/>
  </c:spPr>
  <c:txPr>
    <a:bodyPr/>
    <a:lstStyle/>
    <a:p>
      <a:pPr>
        <a:defRPr sz="1200" b="1"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Mean LST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New city</c:v>
          </c:tx>
          <c:invertIfNegative val="0"/>
          <c:cat>
            <c:strRef>
              <c:f>'Whole city'!$A$22:$A$25</c:f>
              <c:strCache>
                <c:ptCount val="4"/>
                <c:pt idx="0">
                  <c:v>Winter</c:v>
                </c:pt>
                <c:pt idx="1">
                  <c:v>Premonsoon</c:v>
                </c:pt>
                <c:pt idx="2">
                  <c:v>Monsoon</c:v>
                </c:pt>
                <c:pt idx="3">
                  <c:v>Postmonsoon</c:v>
                </c:pt>
              </c:strCache>
            </c:strRef>
          </c:cat>
          <c:val>
            <c:numRef>
              <c:f>'New city'!$N$22:$N$25</c:f>
              <c:numCache>
                <c:formatCode>General</c:formatCode>
                <c:ptCount val="4"/>
                <c:pt idx="0">
                  <c:v>25.594780089322299</c:v>
                </c:pt>
                <c:pt idx="1">
                  <c:v>39.435128882872597</c:v>
                </c:pt>
                <c:pt idx="2">
                  <c:v>26.283996672195901</c:v>
                </c:pt>
                <c:pt idx="3">
                  <c:v>29.6500460127981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80-423E-A6C8-AA37D02A5A28}"/>
            </c:ext>
          </c:extLst>
        </c:ser>
        <c:ser>
          <c:idx val="1"/>
          <c:order val="1"/>
          <c:tx>
            <c:v>Old city</c:v>
          </c:tx>
          <c:invertIfNegative val="0"/>
          <c:cat>
            <c:strRef>
              <c:f>'Whole city'!$A$22:$A$25</c:f>
              <c:strCache>
                <c:ptCount val="4"/>
                <c:pt idx="0">
                  <c:v>Winter</c:v>
                </c:pt>
                <c:pt idx="1">
                  <c:v>Premonsoon</c:v>
                </c:pt>
                <c:pt idx="2">
                  <c:v>Monsoon</c:v>
                </c:pt>
                <c:pt idx="3">
                  <c:v>Postmonsoon</c:v>
                </c:pt>
              </c:strCache>
            </c:strRef>
          </c:cat>
          <c:val>
            <c:numRef>
              <c:f>'Old city'!$N$21:$N$24</c:f>
              <c:numCache>
                <c:formatCode>General</c:formatCode>
                <c:ptCount val="4"/>
                <c:pt idx="0">
                  <c:v>25.903654580754001</c:v>
                </c:pt>
                <c:pt idx="1">
                  <c:v>40.317884253909902</c:v>
                </c:pt>
                <c:pt idx="2">
                  <c:v>27.026389323525301</c:v>
                </c:pt>
                <c:pt idx="3">
                  <c:v>30.226520903186898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80-423E-A6C8-AA37D02A5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666112"/>
        <c:axId val="156672000"/>
      </c:barChart>
      <c:lineChart>
        <c:grouping val="standard"/>
        <c:varyColors val="0"/>
        <c:ser>
          <c:idx val="2"/>
          <c:order val="2"/>
          <c:tx>
            <c:v>Whole city</c:v>
          </c:tx>
          <c:cat>
            <c:strRef>
              <c:f>'Whole city'!$A$22:$A$25</c:f>
              <c:strCache>
                <c:ptCount val="4"/>
                <c:pt idx="0">
                  <c:v>Winter</c:v>
                </c:pt>
                <c:pt idx="1">
                  <c:v>Premonsoon</c:v>
                </c:pt>
                <c:pt idx="2">
                  <c:v>Monsoon</c:v>
                </c:pt>
                <c:pt idx="3">
                  <c:v>Postmonsoon</c:v>
                </c:pt>
              </c:strCache>
            </c:strRef>
          </c:cat>
          <c:val>
            <c:numRef>
              <c:f>'Whole city'!$N$22:$N$25</c:f>
              <c:numCache>
                <c:formatCode>General</c:formatCode>
                <c:ptCount val="4"/>
                <c:pt idx="0">
                  <c:v>25.7097533311928</c:v>
                </c:pt>
                <c:pt idx="1">
                  <c:v>39.934358547924198</c:v>
                </c:pt>
                <c:pt idx="2">
                  <c:v>26.657746495151802</c:v>
                </c:pt>
                <c:pt idx="3">
                  <c:v>29.914011986402599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80-423E-A6C8-AA37D02A5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666112"/>
        <c:axId val="156672000"/>
      </c:lineChart>
      <c:catAx>
        <c:axId val="156666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Seasons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56672000"/>
        <c:crosses val="autoZero"/>
        <c:auto val="1"/>
        <c:lblAlgn val="ctr"/>
        <c:lblOffset val="100"/>
        <c:noMultiLvlLbl val="0"/>
      </c:catAx>
      <c:valAx>
        <c:axId val="1566720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LST (C°)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66661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</a:ln>
    <a:effectLst/>
  </c:spPr>
  <c:txPr>
    <a:bodyPr/>
    <a:lstStyle/>
    <a:p>
      <a:pPr>
        <a:defRPr sz="1400" b="1"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NDVI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New city</c:v>
          </c:tx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590-4839-A00E-A82E5E10493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90-4839-A00E-A82E5E10493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590-4839-A00E-A82E5E10493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590-4839-A00E-A82E5E10493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0.316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A590-4839-A00E-A82E5E10493D}"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(Correlation!$G$3,Correlation!$J$3,Correlation!$M$3,Correlation!$P$3,Correlation!$D$3)</c:f>
              <c:strCache>
                <c:ptCount val="5"/>
                <c:pt idx="0">
                  <c:v>Winter</c:v>
                </c:pt>
                <c:pt idx="1">
                  <c:v>Pre monsoon</c:v>
                </c:pt>
                <c:pt idx="2">
                  <c:v>Monsoon</c:v>
                </c:pt>
                <c:pt idx="3">
                  <c:v>Postmonsoon</c:v>
                </c:pt>
                <c:pt idx="4">
                  <c:v>2020 Whole year</c:v>
                </c:pt>
              </c:strCache>
            </c:strRef>
          </c:cat>
          <c:val>
            <c:numRef>
              <c:f>(Correlation!$G$46,Correlation!$J$46,Correlation!$M$46,Correlation!$P$46,Correlation!$D$46)</c:f>
              <c:numCache>
                <c:formatCode>General</c:formatCode>
                <c:ptCount val="5"/>
                <c:pt idx="0">
                  <c:v>0.26945634848628902</c:v>
                </c:pt>
                <c:pt idx="1">
                  <c:v>0.26171647842398599</c:v>
                </c:pt>
                <c:pt idx="2">
                  <c:v>0.42577349097177503</c:v>
                </c:pt>
                <c:pt idx="3">
                  <c:v>0.347662857982169</c:v>
                </c:pt>
                <c:pt idx="4">
                  <c:v>0.31639709493085499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590-4839-A00E-A82E5E10493D}"/>
            </c:ext>
          </c:extLst>
        </c:ser>
        <c:ser>
          <c:idx val="1"/>
          <c:order val="1"/>
          <c:tx>
            <c:v>Old city</c:v>
          </c:tx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590-4839-A00E-A82E5E10493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590-4839-A00E-A82E5E10493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590-4839-A00E-A82E5E10493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590-4839-A00E-A82E5E10493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0.228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A590-4839-A00E-A82E5E10493D}"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(Correlation!$G$3,Correlation!$J$3,Correlation!$M$3,Correlation!$P$3,Correlation!$D$3)</c:f>
              <c:strCache>
                <c:ptCount val="5"/>
                <c:pt idx="0">
                  <c:v>Winter</c:v>
                </c:pt>
                <c:pt idx="1">
                  <c:v>Pre monsoon</c:v>
                </c:pt>
                <c:pt idx="2">
                  <c:v>Monsoon</c:v>
                </c:pt>
                <c:pt idx="3">
                  <c:v>Postmonsoon</c:v>
                </c:pt>
                <c:pt idx="4">
                  <c:v>2020 Whole year</c:v>
                </c:pt>
              </c:strCache>
            </c:strRef>
          </c:cat>
          <c:val>
            <c:numRef>
              <c:f>(Correlation!$G$47,Correlation!$J$47,Correlation!$M$47,Correlation!$P$47,Correlation!$D$47)</c:f>
              <c:numCache>
                <c:formatCode>General</c:formatCode>
                <c:ptCount val="5"/>
                <c:pt idx="0">
                  <c:v>0.191441608587469</c:v>
                </c:pt>
                <c:pt idx="1">
                  <c:v>0.20119411111549201</c:v>
                </c:pt>
                <c:pt idx="2">
                  <c:v>0.30856181855130499</c:v>
                </c:pt>
                <c:pt idx="3">
                  <c:v>0.24605404355524399</c:v>
                </c:pt>
                <c:pt idx="4">
                  <c:v>0.228504458180016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590-4839-A00E-A82E5E10493D}"/>
            </c:ext>
          </c:extLst>
        </c:ser>
        <c:ser>
          <c:idx val="2"/>
          <c:order val="2"/>
          <c:tx>
            <c:v>Whole city</c:v>
          </c:tx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590-4839-A00E-A82E5E10493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590-4839-A00E-A82E5E10493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590-4839-A00E-A82E5E10493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590-4839-A00E-A82E5E10493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0.269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A590-4839-A00E-A82E5E10493D}"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(Correlation!$G$3,Correlation!$J$3,Correlation!$M$3,Correlation!$P$3,Correlation!$D$3)</c:f>
              <c:strCache>
                <c:ptCount val="5"/>
                <c:pt idx="0">
                  <c:v>Winter</c:v>
                </c:pt>
                <c:pt idx="1">
                  <c:v>Pre monsoon</c:v>
                </c:pt>
                <c:pt idx="2">
                  <c:v>Monsoon</c:v>
                </c:pt>
                <c:pt idx="3">
                  <c:v>Postmonsoon</c:v>
                </c:pt>
                <c:pt idx="4">
                  <c:v>2020 Whole year</c:v>
                </c:pt>
              </c:strCache>
            </c:strRef>
          </c:cat>
          <c:val>
            <c:numRef>
              <c:f>(Correlation!$G$48,Correlation!$J$48,Correlation!$M$48,Correlation!$P$48,Correlation!$D$48)</c:f>
              <c:numCache>
                <c:formatCode>General</c:formatCode>
                <c:ptCount val="5"/>
                <c:pt idx="0">
                  <c:v>0.23042476271106299</c:v>
                </c:pt>
                <c:pt idx="1">
                  <c:v>0.23044613421933799</c:v>
                </c:pt>
                <c:pt idx="2">
                  <c:v>0.37103082201912402</c:v>
                </c:pt>
                <c:pt idx="3">
                  <c:v>0.29293396740357802</c:v>
                </c:pt>
                <c:pt idx="4">
                  <c:v>0.26949448895113898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590-4839-A00E-A82E5E10493D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7086464"/>
        <c:axId val="157088000"/>
      </c:lineChart>
      <c:catAx>
        <c:axId val="157086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Seasons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57088000"/>
        <c:crosses val="autoZero"/>
        <c:auto val="1"/>
        <c:lblAlgn val="ctr"/>
        <c:lblOffset val="100"/>
        <c:noMultiLvlLbl val="0"/>
      </c:catAx>
      <c:valAx>
        <c:axId val="1570880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NDVI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7086464"/>
        <c:crosses val="autoZero"/>
        <c:crossBetween val="between"/>
      </c:valAx>
    </c:plotArea>
    <c:legend>
      <c:legendPos val="b"/>
      <c:overlay val="0"/>
    </c:legend>
    <c:plotVisOnly val="1"/>
    <c:dispBlanksAs val="span"/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NDBI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New city</c:v>
          </c:tx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E51-47DA-AB81-1A9D5374ECC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51-47DA-AB81-1A9D5374ECC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E51-47DA-AB81-1A9D5374ECC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E51-47DA-AB81-1A9D5374ECC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-0.04099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0E51-47DA-AB81-1A9D5374ECC8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(Correlation!$G$3,Correlation!$J$3,Correlation!$M$3,Correlation!$P$3,Correlation!$D$3)</c:f>
              <c:strCache>
                <c:ptCount val="5"/>
                <c:pt idx="0">
                  <c:v>Winter</c:v>
                </c:pt>
                <c:pt idx="1">
                  <c:v>Pre monsoon</c:v>
                </c:pt>
                <c:pt idx="2">
                  <c:v>Monsoon</c:v>
                </c:pt>
                <c:pt idx="3">
                  <c:v>Postmonsoon</c:v>
                </c:pt>
                <c:pt idx="4">
                  <c:v>2020 Whole year</c:v>
                </c:pt>
              </c:strCache>
            </c:strRef>
          </c:cat>
          <c:val>
            <c:numRef>
              <c:f>(Correlation!$G$51,Correlation!$J$51,Correlation!$M$51,Correlation!$P$51,Correlation!$D$51)</c:f>
              <c:numCache>
                <c:formatCode>General</c:formatCode>
                <c:ptCount val="5"/>
                <c:pt idx="0">
                  <c:v>-1.16795989597349E-2</c:v>
                </c:pt>
                <c:pt idx="1">
                  <c:v>-1.36699217364667E-2</c:v>
                </c:pt>
                <c:pt idx="2">
                  <c:v>-0.12307379491408001</c:v>
                </c:pt>
                <c:pt idx="3">
                  <c:v>-4.8826384547335802E-2</c:v>
                </c:pt>
                <c:pt idx="4">
                  <c:v>-4.0992022494926103E-2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E51-47DA-AB81-1A9D5374ECC8}"/>
            </c:ext>
          </c:extLst>
        </c:ser>
        <c:ser>
          <c:idx val="1"/>
          <c:order val="1"/>
          <c:tx>
            <c:v>Old city</c:v>
          </c:tx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E51-47DA-AB81-1A9D5374ECC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E51-47DA-AB81-1A9D5374ECC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E51-47DA-AB81-1A9D5374ECC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E51-47DA-AB81-1A9D5374ECC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-0.00196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0E51-47DA-AB81-1A9D5374ECC8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(Correlation!$G$3,Correlation!$J$3,Correlation!$M$3,Correlation!$P$3,Correlation!$D$3)</c:f>
              <c:strCache>
                <c:ptCount val="5"/>
                <c:pt idx="0">
                  <c:v>Winter</c:v>
                </c:pt>
                <c:pt idx="1">
                  <c:v>Pre monsoon</c:v>
                </c:pt>
                <c:pt idx="2">
                  <c:v>Monsoon</c:v>
                </c:pt>
                <c:pt idx="3">
                  <c:v>Postmonsoon</c:v>
                </c:pt>
                <c:pt idx="4">
                  <c:v>2020 Whole year</c:v>
                </c:pt>
              </c:strCache>
            </c:strRef>
          </c:cat>
          <c:val>
            <c:numRef>
              <c:f>(Correlation!$G$52,Correlation!$J$52,Correlation!$M$52,Correlation!$P$52,Correlation!$D$52)</c:f>
              <c:numCache>
                <c:formatCode>General</c:formatCode>
                <c:ptCount val="5"/>
                <c:pt idx="0">
                  <c:v>1.76108951810925E-2</c:v>
                </c:pt>
                <c:pt idx="1">
                  <c:v>9.7970818473269404E-3</c:v>
                </c:pt>
                <c:pt idx="2">
                  <c:v>-6.0543244821571598E-2</c:v>
                </c:pt>
                <c:pt idx="3">
                  <c:v>-1.9932913913485398E-3</c:v>
                </c:pt>
                <c:pt idx="4">
                  <c:v>-1.96486300923783E-3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E51-47DA-AB81-1A9D5374ECC8}"/>
            </c:ext>
          </c:extLst>
        </c:ser>
        <c:ser>
          <c:idx val="2"/>
          <c:order val="2"/>
          <c:tx>
            <c:v>Whole city</c:v>
          </c:tx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E51-47DA-AB81-1A9D5374ECC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E51-47DA-AB81-1A9D5374ECC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E51-47DA-AB81-1A9D5374ECC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E51-47DA-AB81-1A9D5374ECC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-0.02145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0E51-47DA-AB81-1A9D5374ECC8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(Correlation!$G$3,Correlation!$J$3,Correlation!$M$3,Correlation!$P$3,Correlation!$D$3)</c:f>
              <c:strCache>
                <c:ptCount val="5"/>
                <c:pt idx="0">
                  <c:v>Winter</c:v>
                </c:pt>
                <c:pt idx="1">
                  <c:v>Pre monsoon</c:v>
                </c:pt>
                <c:pt idx="2">
                  <c:v>Monsoon</c:v>
                </c:pt>
                <c:pt idx="3">
                  <c:v>Postmonsoon</c:v>
                </c:pt>
                <c:pt idx="4">
                  <c:v>2020 Whole year</c:v>
                </c:pt>
              </c:strCache>
            </c:strRef>
          </c:cat>
          <c:val>
            <c:numRef>
              <c:f>(Correlation!$G$53,Correlation!$J$53,Correlation!$M$53,Correlation!$P$53,Correlation!$D$53)</c:f>
              <c:numCache>
                <c:formatCode>General</c:formatCode>
                <c:ptCount val="5"/>
                <c:pt idx="0">
                  <c:v>3.9275884690381201E-3</c:v>
                </c:pt>
                <c:pt idx="1">
                  <c:v>-1.9665979263852199E-3</c:v>
                </c:pt>
                <c:pt idx="2">
                  <c:v>-9.1778707747315197E-2</c:v>
                </c:pt>
                <c:pt idx="3">
                  <c:v>-2.5379851938654201E-2</c:v>
                </c:pt>
                <c:pt idx="4">
                  <c:v>-2.1459366047189499E-2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E51-47DA-AB81-1A9D5374ECC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6878336"/>
        <c:axId val="156879872"/>
      </c:lineChart>
      <c:catAx>
        <c:axId val="156878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Seasons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crossAx val="156879872"/>
        <c:crosses val="autoZero"/>
        <c:auto val="1"/>
        <c:lblAlgn val="ctr"/>
        <c:lblOffset val="100"/>
        <c:noMultiLvlLbl val="0"/>
      </c:catAx>
      <c:valAx>
        <c:axId val="156879872"/>
        <c:scaling>
          <c:orientation val="minMax"/>
        </c:scaling>
        <c:delete val="0"/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NDBI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crossAx val="156878336"/>
        <c:crosses val="autoZero"/>
        <c:crossBetween val="between"/>
        <c:minorUnit val="1.0000000000000002E-2"/>
      </c:valAx>
    </c:plotArea>
    <c:legend>
      <c:legendPos val="r"/>
      <c:overlay val="0"/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8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LST &amp; NDVI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v>LST (New city)</c:v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F2EB-4402-889A-92AA1D52167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25.59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DC33-410C-970E-4617FD3040F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39.44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DC33-410C-970E-4617FD3040F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26.28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DC33-410C-970E-4617FD3040F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29.65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DC33-410C-970E-4617FD3040F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 sz="1400" b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a:t>29.91</a:t>
                    </a:r>
                    <a:endParaRPr lang="en-US" sz="1400" b="1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F2EB-4402-889A-92AA1D521679}"/>
                </c:ext>
              </c:extLst>
            </c:dLbl>
            <c:spPr>
              <a:solidFill>
                <a:schemeClr val="lt1"/>
              </a:solidFill>
              <a:ln w="25400" cap="flat" cmpd="sng" algn="ctr">
                <a:solidFill>
                  <a:schemeClr val="accent1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(Correlation!$G$3,Correlation!$J$3,Correlation!$M$3,Correlation!$P$3,Correlation!$D$3)</c:f>
              <c:strCache>
                <c:ptCount val="5"/>
                <c:pt idx="0">
                  <c:v>Winter</c:v>
                </c:pt>
                <c:pt idx="1">
                  <c:v>Pre monsoon</c:v>
                </c:pt>
                <c:pt idx="2">
                  <c:v>Monsoon</c:v>
                </c:pt>
                <c:pt idx="3">
                  <c:v>Postmonsoon</c:v>
                </c:pt>
                <c:pt idx="4">
                  <c:v>2020 Whole year</c:v>
                </c:pt>
              </c:strCache>
            </c:strRef>
          </c:cat>
          <c:val>
            <c:numRef>
              <c:f>(Correlation!$G$36,Correlation!$J$36,Correlation!$M$36,Correlation!$P$36,Correlation!$D$36)</c:f>
              <c:numCache>
                <c:formatCode>0.00</c:formatCode>
                <c:ptCount val="5"/>
                <c:pt idx="0">
                  <c:v>25.594780089322299</c:v>
                </c:pt>
                <c:pt idx="1">
                  <c:v>39.435128882872597</c:v>
                </c:pt>
                <c:pt idx="2">
                  <c:v>26.283996672195901</c:v>
                </c:pt>
                <c:pt idx="3">
                  <c:v>29.6500460127981</c:v>
                </c:pt>
                <c:pt idx="4">
                  <c:v>29.910604475922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EB-4402-889A-92AA1D521679}"/>
            </c:ext>
          </c:extLst>
        </c:ser>
        <c:ser>
          <c:idx val="3"/>
          <c:order val="3"/>
          <c:tx>
            <c:v>LST (Old city)</c:v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E179-44DA-8113-B66B00BB1B2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a:t>25.9</a:t>
                    </a:r>
                    <a:endParaRPr lang="en-US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DC33-410C-970E-4617FD3040F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40.32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DC33-410C-970E-4617FD3040F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27.03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DC33-410C-970E-4617FD3040F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30.23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DC33-410C-970E-4617FD3040F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 sz="1400" b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a:t>30.46</a:t>
                    </a:r>
                    <a:endParaRPr lang="en-US" sz="1400" b="1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E179-44DA-8113-B66B00BB1B2D}"/>
                </c:ext>
              </c:extLst>
            </c:dLbl>
            <c:spPr>
              <a:solidFill>
                <a:schemeClr val="lt1"/>
              </a:solidFill>
              <a:ln w="25400" cap="flat" cmpd="sng" algn="ctr">
                <a:solidFill>
                  <a:schemeClr val="accent2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(Correlation!$G$3,Correlation!$J$3,Correlation!$M$3,Correlation!$P$3,Correlation!$D$3)</c:f>
              <c:strCache>
                <c:ptCount val="5"/>
                <c:pt idx="0">
                  <c:v>Winter</c:v>
                </c:pt>
                <c:pt idx="1">
                  <c:v>Pre monsoon</c:v>
                </c:pt>
                <c:pt idx="2">
                  <c:v>Monsoon</c:v>
                </c:pt>
                <c:pt idx="3">
                  <c:v>Postmonsoon</c:v>
                </c:pt>
                <c:pt idx="4">
                  <c:v>2020 Whole year</c:v>
                </c:pt>
              </c:strCache>
            </c:strRef>
          </c:cat>
          <c:val>
            <c:numRef>
              <c:f>(Correlation!$G$37,Correlation!$J$37,Correlation!$M$37,Correlation!$P$37,Correlation!$D$37)</c:f>
              <c:numCache>
                <c:formatCode>0.00</c:formatCode>
                <c:ptCount val="5"/>
                <c:pt idx="0">
                  <c:v>25.903654580754001</c:v>
                </c:pt>
                <c:pt idx="1">
                  <c:v>40.317884253909902</c:v>
                </c:pt>
                <c:pt idx="2">
                  <c:v>27.026389323525301</c:v>
                </c:pt>
                <c:pt idx="3">
                  <c:v>30.226520903186898</c:v>
                </c:pt>
                <c:pt idx="4">
                  <c:v>30.4614214013124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EB-4402-889A-92AA1D521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518208"/>
        <c:axId val="147519744"/>
      </c:barChart>
      <c:lineChart>
        <c:grouping val="standard"/>
        <c:varyColors val="0"/>
        <c:ser>
          <c:idx val="0"/>
          <c:order val="0"/>
          <c:tx>
            <c:v>NDVI (New city)</c:v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0.2695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DC33-410C-970E-4617FD3040F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0.2617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DC33-410C-970E-4617FD3040F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0.4258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DC33-410C-970E-4617FD3040F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0.3477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DC33-410C-970E-4617FD3040F7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1600" b="1">
                        <a:solidFill>
                          <a:schemeClr val="dk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0.3164</a:t>
                    </a:r>
                    <a:endParaRPr lang="en-US" sz="1600" b="1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spPr>
                <a:solidFill>
                  <a:schemeClr val="lt1"/>
                </a:solidFill>
                <a:ln w="25400" cap="flat" cmpd="sng" algn="ctr">
                  <a:solidFill>
                    <a:schemeClr val="accent1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DC33-410C-970E-4617FD3040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(Correlation!$G$3,Correlation!$J$3,Correlation!$M$3,Correlation!$P$3,Correlation!$D$3)</c:f>
              <c:strCache>
                <c:ptCount val="5"/>
                <c:pt idx="0">
                  <c:v>Winter</c:v>
                </c:pt>
                <c:pt idx="1">
                  <c:v>Pre monsoon</c:v>
                </c:pt>
                <c:pt idx="2">
                  <c:v>Monsoon</c:v>
                </c:pt>
                <c:pt idx="3">
                  <c:v>Postmonsoon</c:v>
                </c:pt>
                <c:pt idx="4">
                  <c:v>2020 Whole year</c:v>
                </c:pt>
              </c:strCache>
            </c:strRef>
          </c:cat>
          <c:val>
            <c:numRef>
              <c:f>(Correlation!$G$46,Correlation!$J$46,Correlation!$M$46,Correlation!$P$46,Correlation!$D$46)</c:f>
              <c:numCache>
                <c:formatCode>General</c:formatCode>
                <c:ptCount val="5"/>
                <c:pt idx="0">
                  <c:v>0.26945634848628902</c:v>
                </c:pt>
                <c:pt idx="1">
                  <c:v>0.26171647842398599</c:v>
                </c:pt>
                <c:pt idx="2">
                  <c:v>0.42577349097177503</c:v>
                </c:pt>
                <c:pt idx="3">
                  <c:v>0.347662857982169</c:v>
                </c:pt>
                <c:pt idx="4">
                  <c:v>0.31639709493085499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EB-4402-889A-92AA1D521679}"/>
            </c:ext>
          </c:extLst>
        </c:ser>
        <c:ser>
          <c:idx val="1"/>
          <c:order val="1"/>
          <c:tx>
            <c:v>NDVI (Old city)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0.1914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DC33-410C-970E-4617FD3040F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0.2012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DC33-410C-970E-4617FD3040F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0.3086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DC33-410C-970E-4617FD3040F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0..2461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DC33-410C-970E-4617FD3040F7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600" b="1" i="0" u="none" strike="noStrike" kern="1200" baseline="0">
                        <a:solidFill>
                          <a:schemeClr val="dk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1600" b="1">
                        <a:solidFill>
                          <a:schemeClr val="dk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0.2285</a:t>
                    </a:r>
                    <a:endParaRPr lang="en-US" sz="1600" b="1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spPr>
                <a:solidFill>
                  <a:schemeClr val="lt1"/>
                </a:solidFill>
                <a:ln w="25400" cap="flat" cmpd="sng" algn="ctr">
                  <a:solidFill>
                    <a:schemeClr val="accent2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chemeClr val="dk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DC33-410C-970E-4617FD3040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(Correlation!$G$3,Correlation!$J$3,Correlation!$M$3,Correlation!$P$3,Correlation!$D$3)</c:f>
              <c:strCache>
                <c:ptCount val="5"/>
                <c:pt idx="0">
                  <c:v>Winter</c:v>
                </c:pt>
                <c:pt idx="1">
                  <c:v>Pre monsoon</c:v>
                </c:pt>
                <c:pt idx="2">
                  <c:v>Monsoon</c:v>
                </c:pt>
                <c:pt idx="3">
                  <c:v>Postmonsoon</c:v>
                </c:pt>
                <c:pt idx="4">
                  <c:v>2020 Whole year</c:v>
                </c:pt>
              </c:strCache>
            </c:strRef>
          </c:cat>
          <c:val>
            <c:numRef>
              <c:f>(Correlation!$G$47,Correlation!$J$47,Correlation!$M$47,Correlation!$P$47,Correlation!$D$47)</c:f>
              <c:numCache>
                <c:formatCode>General</c:formatCode>
                <c:ptCount val="5"/>
                <c:pt idx="0">
                  <c:v>0.191441608587469</c:v>
                </c:pt>
                <c:pt idx="1">
                  <c:v>0.20119411111549201</c:v>
                </c:pt>
                <c:pt idx="2">
                  <c:v>0.30856181855130499</c:v>
                </c:pt>
                <c:pt idx="3">
                  <c:v>0.24605404355524399</c:v>
                </c:pt>
                <c:pt idx="4">
                  <c:v>0.228504458180016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EB-4402-889A-92AA1D521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770176"/>
        <c:axId val="146750464"/>
      </c:lineChart>
      <c:catAx>
        <c:axId val="1475182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519744"/>
        <c:crosses val="autoZero"/>
        <c:auto val="1"/>
        <c:lblAlgn val="ctr"/>
        <c:lblOffset val="100"/>
        <c:noMultiLvlLbl val="0"/>
      </c:catAx>
      <c:valAx>
        <c:axId val="14751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LST (C°)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518208"/>
        <c:crosses val="autoZero"/>
        <c:crossBetween val="between"/>
      </c:valAx>
      <c:valAx>
        <c:axId val="14675046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NDVI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6770176"/>
        <c:crosses val="max"/>
        <c:crossBetween val="between"/>
      </c:valAx>
      <c:catAx>
        <c:axId val="14677017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Seasons</a:t>
                </a:r>
              </a:p>
            </c:rich>
          </c:tx>
          <c:layout>
            <c:manualLayout>
              <c:xMode val="edge"/>
              <c:yMode val="edge"/>
              <c:x val="0.46424502251541516"/>
              <c:y val="0.868743470561174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46750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NDBI-LST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v>LST (New)</c:v>
          </c:tx>
          <c:invertIfNegative val="0"/>
          <c:dPt>
            <c:idx val="4"/>
            <c:invertIfNegative val="0"/>
            <c:bubble3D val="0"/>
            <c:spPr>
              <a:solidFill>
                <a:schemeClr val="accent3"/>
              </a:solidFill>
              <a:ln w="25400" cap="flat" cmpd="sng" algn="ctr">
                <a:solidFill>
                  <a:schemeClr val="accent3">
                    <a:shade val="50000"/>
                  </a:schemeClr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0-8A8D-4911-8C17-A9DE0814B835}"/>
              </c:ext>
            </c:extLst>
          </c:dPt>
          <c:dLbls>
            <c:delete val="1"/>
          </c:dLbls>
          <c:cat>
            <c:strRef>
              <c:f>(Correlation!$G$3,Correlation!$J$3,Correlation!$M$3,Correlation!$P$3,Correlation!$D$3)</c:f>
              <c:strCache>
                <c:ptCount val="5"/>
                <c:pt idx="0">
                  <c:v>Winter</c:v>
                </c:pt>
                <c:pt idx="1">
                  <c:v>Pre monsoon</c:v>
                </c:pt>
                <c:pt idx="2">
                  <c:v>Monsoon</c:v>
                </c:pt>
                <c:pt idx="3">
                  <c:v>Postmonsoon</c:v>
                </c:pt>
                <c:pt idx="4">
                  <c:v>2020 Whole year</c:v>
                </c:pt>
              </c:strCache>
            </c:strRef>
          </c:cat>
          <c:val>
            <c:numRef>
              <c:f>(Correlation!$G$36,Correlation!$J$36,Correlation!$M$36,Correlation!$P$36,Correlation!$D$36)</c:f>
              <c:numCache>
                <c:formatCode>0.00</c:formatCode>
                <c:ptCount val="5"/>
                <c:pt idx="0">
                  <c:v>25.594780089322299</c:v>
                </c:pt>
                <c:pt idx="1">
                  <c:v>39.435128882872597</c:v>
                </c:pt>
                <c:pt idx="2">
                  <c:v>26.283996672195901</c:v>
                </c:pt>
                <c:pt idx="3">
                  <c:v>29.6500460127981</c:v>
                </c:pt>
                <c:pt idx="4">
                  <c:v>29.910604475922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8D-4911-8C17-A9DE0814B835}"/>
            </c:ext>
          </c:extLst>
        </c:ser>
        <c:ser>
          <c:idx val="3"/>
          <c:order val="3"/>
          <c:tx>
            <c:v>LST (Old)</c:v>
          </c:tx>
          <c:invertIfNegative val="0"/>
          <c:dPt>
            <c:idx val="4"/>
            <c:invertIfNegative val="0"/>
            <c:bubble3D val="0"/>
            <c:spPr>
              <a:solidFill>
                <a:schemeClr val="accent4"/>
              </a:solidFill>
              <a:ln w="25400" cap="flat" cmpd="sng" algn="ctr">
                <a:solidFill>
                  <a:schemeClr val="accent4">
                    <a:shade val="50000"/>
                  </a:schemeClr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8CA3-44E6-8841-3B64FD205900}"/>
              </c:ext>
            </c:extLst>
          </c:dPt>
          <c:dLbls>
            <c:delete val="1"/>
          </c:dLbls>
          <c:cat>
            <c:strRef>
              <c:f>(Correlation!$G$3,Correlation!$J$3,Correlation!$M$3,Correlation!$P$3,Correlation!$D$3)</c:f>
              <c:strCache>
                <c:ptCount val="5"/>
                <c:pt idx="0">
                  <c:v>Winter</c:v>
                </c:pt>
                <c:pt idx="1">
                  <c:v>Pre monsoon</c:v>
                </c:pt>
                <c:pt idx="2">
                  <c:v>Monsoon</c:v>
                </c:pt>
                <c:pt idx="3">
                  <c:v>Postmonsoon</c:v>
                </c:pt>
                <c:pt idx="4">
                  <c:v>2020 Whole year</c:v>
                </c:pt>
              </c:strCache>
            </c:strRef>
          </c:cat>
          <c:val>
            <c:numRef>
              <c:f>(Correlation!$G$37,Correlation!$J$37,Correlation!$M$37,Correlation!$P$37,Correlation!$D$37)</c:f>
              <c:numCache>
                <c:formatCode>0.00</c:formatCode>
                <c:ptCount val="5"/>
                <c:pt idx="0">
                  <c:v>25.903654580754001</c:v>
                </c:pt>
                <c:pt idx="1">
                  <c:v>40.317884253909902</c:v>
                </c:pt>
                <c:pt idx="2">
                  <c:v>27.026389323525301</c:v>
                </c:pt>
                <c:pt idx="3">
                  <c:v>30.226520903186898</c:v>
                </c:pt>
                <c:pt idx="4">
                  <c:v>30.4614214013124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8D-4911-8C17-A9DE0814B8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9827840"/>
        <c:axId val="159829376"/>
      </c:barChart>
      <c:lineChart>
        <c:grouping val="standard"/>
        <c:varyColors val="0"/>
        <c:ser>
          <c:idx val="0"/>
          <c:order val="0"/>
          <c:tx>
            <c:v>NDBI (New)</c:v>
          </c:tx>
          <c:dLbls>
            <c:delete val="1"/>
          </c:dLbls>
          <c:cat>
            <c:strRef>
              <c:f>(Correlation!$G$3,Correlation!$J$3,Correlation!$M$3,Correlation!$P$3,Correlation!$D$3)</c:f>
              <c:strCache>
                <c:ptCount val="5"/>
                <c:pt idx="0">
                  <c:v>Winter</c:v>
                </c:pt>
                <c:pt idx="1">
                  <c:v>Pre monsoon</c:v>
                </c:pt>
                <c:pt idx="2">
                  <c:v>Monsoon</c:v>
                </c:pt>
                <c:pt idx="3">
                  <c:v>Postmonsoon</c:v>
                </c:pt>
                <c:pt idx="4">
                  <c:v>2020 Whole year</c:v>
                </c:pt>
              </c:strCache>
            </c:strRef>
          </c:cat>
          <c:val>
            <c:numRef>
              <c:f>(Correlation!$G$51,Correlation!$J$51,Correlation!$M$51,Correlation!$P$51,Correlation!$D$51)</c:f>
              <c:numCache>
                <c:formatCode>General</c:formatCode>
                <c:ptCount val="5"/>
                <c:pt idx="0">
                  <c:v>-1.16795989597349E-2</c:v>
                </c:pt>
                <c:pt idx="1">
                  <c:v>-1.36699217364667E-2</c:v>
                </c:pt>
                <c:pt idx="2">
                  <c:v>-0.12307379491408001</c:v>
                </c:pt>
                <c:pt idx="3">
                  <c:v>-4.8826384547335802E-2</c:v>
                </c:pt>
                <c:pt idx="4">
                  <c:v>-4.0992022494926103E-2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8D-4911-8C17-A9DE0814B835}"/>
            </c:ext>
          </c:extLst>
        </c:ser>
        <c:ser>
          <c:idx val="1"/>
          <c:order val="1"/>
          <c:tx>
            <c:v>NDBI (Old)</c:v>
          </c:tx>
          <c:dLbls>
            <c:delete val="1"/>
          </c:dLbls>
          <c:cat>
            <c:strRef>
              <c:f>(Correlation!$G$3,Correlation!$J$3,Correlation!$M$3,Correlation!$P$3,Correlation!$D$3)</c:f>
              <c:strCache>
                <c:ptCount val="5"/>
                <c:pt idx="0">
                  <c:v>Winter</c:v>
                </c:pt>
                <c:pt idx="1">
                  <c:v>Pre monsoon</c:v>
                </c:pt>
                <c:pt idx="2">
                  <c:v>Monsoon</c:v>
                </c:pt>
                <c:pt idx="3">
                  <c:v>Postmonsoon</c:v>
                </c:pt>
                <c:pt idx="4">
                  <c:v>2020 Whole year</c:v>
                </c:pt>
              </c:strCache>
            </c:strRef>
          </c:cat>
          <c:val>
            <c:numRef>
              <c:f>(Correlation!$G$52,Correlation!$J$52,Correlation!$M$52,Correlation!$P$52,Correlation!$D$52)</c:f>
              <c:numCache>
                <c:formatCode>General</c:formatCode>
                <c:ptCount val="5"/>
                <c:pt idx="0">
                  <c:v>1.76108951810925E-2</c:v>
                </c:pt>
                <c:pt idx="1">
                  <c:v>9.7970818473269404E-3</c:v>
                </c:pt>
                <c:pt idx="2">
                  <c:v>-6.0543244821571598E-2</c:v>
                </c:pt>
                <c:pt idx="3">
                  <c:v>-1.9932913913485398E-3</c:v>
                </c:pt>
                <c:pt idx="4">
                  <c:v>-1.96486300923783E-3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8D-4911-8C17-A9DE0814B8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9837184"/>
        <c:axId val="159835648"/>
      </c:lineChart>
      <c:catAx>
        <c:axId val="159827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59829376"/>
        <c:crosses val="autoZero"/>
        <c:auto val="1"/>
        <c:lblAlgn val="ctr"/>
        <c:lblOffset val="100"/>
        <c:noMultiLvlLbl val="0"/>
      </c:catAx>
      <c:valAx>
        <c:axId val="1598293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LST(C°)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59827840"/>
        <c:crosses val="autoZero"/>
        <c:crossBetween val="between"/>
      </c:valAx>
      <c:valAx>
        <c:axId val="159835648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NDBI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9837184"/>
        <c:crosses val="max"/>
        <c:crossBetween val="between"/>
      </c:valAx>
      <c:catAx>
        <c:axId val="159837184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Seasons</a:t>
                </a:r>
              </a:p>
            </c:rich>
          </c:tx>
          <c:layout>
            <c:manualLayout>
              <c:xMode val="edge"/>
              <c:yMode val="edge"/>
              <c:x val="0.45702703837672587"/>
              <c:y val="0.8481434957950242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59835648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</a:ln>
    <a:effectLst/>
  </c:spPr>
  <c:txPr>
    <a:bodyPr/>
    <a:lstStyle/>
    <a:p>
      <a:pPr>
        <a:defRPr sz="1400" b="1"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LST &amp; NDBI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v>LST (New)</c:v>
          </c:tx>
          <c:invertIfNegative val="0"/>
          <c:cat>
            <c:strRef>
              <c:f>'New city'!$A$3:$A$14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'New city'!$N$3:$N$14</c:f>
              <c:numCache>
                <c:formatCode>General</c:formatCode>
                <c:ptCount val="12"/>
                <c:pt idx="0">
                  <c:v>24.267216227511</c:v>
                </c:pt>
                <c:pt idx="1">
                  <c:v>29.211967339985499</c:v>
                </c:pt>
                <c:pt idx="2">
                  <c:v>33.186363552419202</c:v>
                </c:pt>
                <c:pt idx="3">
                  <c:v>40.687321286906503</c:v>
                </c:pt>
                <c:pt idx="4">
                  <c:v>40.281513120795601</c:v>
                </c:pt>
                <c:pt idx="5">
                  <c:v>28.838691830473898</c:v>
                </c:pt>
                <c:pt idx="6">
                  <c:v>25.843433592330101</c:v>
                </c:pt>
                <c:pt idx="7">
                  <c:v>25.843433592330101</c:v>
                </c:pt>
                <c:pt idx="8">
                  <c:v>25.471550291415799</c:v>
                </c:pt>
                <c:pt idx="9">
                  <c:v>31.905719627754301</c:v>
                </c:pt>
                <c:pt idx="10">
                  <c:v>27.9074270744279</c:v>
                </c:pt>
                <c:pt idx="11">
                  <c:v>27.1583918692148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8-4864-B63C-68EE127D8320}"/>
            </c:ext>
          </c:extLst>
        </c:ser>
        <c:ser>
          <c:idx val="3"/>
          <c:order val="3"/>
          <c:tx>
            <c:v>LST(Old)</c:v>
          </c:tx>
          <c:invertIfNegative val="0"/>
          <c:cat>
            <c:strRef>
              <c:f>'New city'!$A$3:$A$14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'Old city'!$N$2:$N$13</c:f>
              <c:numCache>
                <c:formatCode>General</c:formatCode>
                <c:ptCount val="12"/>
                <c:pt idx="0">
                  <c:v>24.844077982293999</c:v>
                </c:pt>
                <c:pt idx="1">
                  <c:v>29.333304321365301</c:v>
                </c:pt>
                <c:pt idx="2">
                  <c:v>33.9440134314546</c:v>
                </c:pt>
                <c:pt idx="3">
                  <c:v>41.436021753585898</c:v>
                </c:pt>
                <c:pt idx="4">
                  <c:v>41.312808846758699</c:v>
                </c:pt>
                <c:pt idx="5">
                  <c:v>29.176971669048001</c:v>
                </c:pt>
                <c:pt idx="6">
                  <c:v>26.153715475961601</c:v>
                </c:pt>
                <c:pt idx="7">
                  <c:v>27.525882735286402</c:v>
                </c:pt>
                <c:pt idx="8">
                  <c:v>26.0992876330602</c:v>
                </c:pt>
                <c:pt idx="9">
                  <c:v>32.778728904437997</c:v>
                </c:pt>
                <c:pt idx="10">
                  <c:v>28.524484494063099</c:v>
                </c:pt>
                <c:pt idx="11">
                  <c:v>27.842746321863999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8-4864-B63C-68EE127D8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028224"/>
        <c:axId val="147162624"/>
      </c:barChart>
      <c:lineChart>
        <c:grouping val="standard"/>
        <c:varyColors val="0"/>
        <c:ser>
          <c:idx val="0"/>
          <c:order val="0"/>
          <c:tx>
            <c:v>NDBI (New)</c:v>
          </c:tx>
          <c:marker>
            <c:symbol val="none"/>
          </c:marker>
          <c:cat>
            <c:strRef>
              <c:f>'New city'!$A$3:$A$14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'New city'!$O$3:$O$14</c:f>
              <c:numCache>
                <c:formatCode>General</c:formatCode>
                <c:ptCount val="12"/>
                <c:pt idx="0">
                  <c:v>-1.9509794130203099E-2</c:v>
                </c:pt>
                <c:pt idx="1">
                  <c:v>3.8763720928247699E-3</c:v>
                </c:pt>
                <c:pt idx="2">
                  <c:v>1.91435814777255E-3</c:v>
                </c:pt>
                <c:pt idx="3">
                  <c:v>-9.7580474633021108E-3</c:v>
                </c:pt>
                <c:pt idx="4">
                  <c:v>-9.7683113736951495E-3</c:v>
                </c:pt>
                <c:pt idx="5">
                  <c:v>-3.7083815348934498E-2</c:v>
                </c:pt>
                <c:pt idx="6">
                  <c:v>-0.128894385159699</c:v>
                </c:pt>
                <c:pt idx="7">
                  <c:v>-0.128894385159699</c:v>
                </c:pt>
                <c:pt idx="8">
                  <c:v>-0.158209278240797</c:v>
                </c:pt>
                <c:pt idx="9">
                  <c:v>-7.6183458877711302E-2</c:v>
                </c:pt>
                <c:pt idx="10">
                  <c:v>-2.73042146323699E-2</c:v>
                </c:pt>
                <c:pt idx="11">
                  <c:v>-2.72588670557295E-2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18-4864-B63C-68EE127D8320}"/>
            </c:ext>
          </c:extLst>
        </c:ser>
        <c:ser>
          <c:idx val="1"/>
          <c:order val="1"/>
          <c:tx>
            <c:v>NDBI (Old)</c:v>
          </c:tx>
          <c:marker>
            <c:symbol val="none"/>
          </c:marker>
          <c:cat>
            <c:strRef>
              <c:f>'New city'!$A$3:$A$14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'Old city'!$O$2:$O$13</c:f>
              <c:numCache>
                <c:formatCode>General</c:formatCode>
                <c:ptCount val="12"/>
                <c:pt idx="0">
                  <c:v>1.3666760789067299E-2</c:v>
                </c:pt>
                <c:pt idx="1">
                  <c:v>2.74116462146556E-2</c:v>
                </c:pt>
                <c:pt idx="2">
                  <c:v>2.5404310286630601E-2</c:v>
                </c:pt>
                <c:pt idx="3">
                  <c:v>1.36946473057682E-2</c:v>
                </c:pt>
                <c:pt idx="4">
                  <c:v>9.7852738631237692E-3</c:v>
                </c:pt>
                <c:pt idx="5">
                  <c:v>-5.8395858818888098E-3</c:v>
                </c:pt>
                <c:pt idx="6">
                  <c:v>-8.1987372278320994E-2</c:v>
                </c:pt>
                <c:pt idx="7">
                  <c:v>-6.6350569495647105E-2</c:v>
                </c:pt>
                <c:pt idx="8">
                  <c:v>-7.2213080384759307E-2</c:v>
                </c:pt>
                <c:pt idx="9">
                  <c:v>-2.1452101611897399E-2</c:v>
                </c:pt>
                <c:pt idx="10">
                  <c:v>1.1772901931174799E-2</c:v>
                </c:pt>
                <c:pt idx="11">
                  <c:v>1.1798252730555301E-2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18-4864-B63C-68EE127D8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261312"/>
        <c:axId val="147195008"/>
      </c:lineChart>
      <c:catAx>
        <c:axId val="147028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7162624"/>
        <c:crosses val="autoZero"/>
        <c:auto val="1"/>
        <c:lblAlgn val="ctr"/>
        <c:lblOffset val="100"/>
        <c:noMultiLvlLbl val="0"/>
      </c:catAx>
      <c:valAx>
        <c:axId val="1471626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LST(C°)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028224"/>
        <c:crosses val="autoZero"/>
        <c:crossBetween val="between"/>
      </c:valAx>
      <c:valAx>
        <c:axId val="147195008"/>
        <c:scaling>
          <c:orientation val="minMax"/>
          <c:max val="0.05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NDBI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261312"/>
        <c:crosses val="max"/>
        <c:crossBetween val="between"/>
      </c:valAx>
      <c:catAx>
        <c:axId val="1472613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7195008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zero"/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</a:ln>
    <a:effectLst/>
  </c:spPr>
  <c:txPr>
    <a:bodyPr/>
    <a:lstStyle/>
    <a:p>
      <a:pPr>
        <a:defRPr sz="1200" b="1"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0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LST &amp; NDVI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v>LST (New city)</c:v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F6D5-4235-AA89-D982AE133C7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25.59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F6D5-4235-AA89-D982AE133C7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39.44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F6D5-4235-AA89-D982AE133C7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26.28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F6D5-4235-AA89-D982AE133C7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29.65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F6D5-4235-AA89-D982AE133C7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 sz="2000" b="1">
                        <a:solidFill>
                          <a:schemeClr val="dk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29.91</a:t>
                    </a:r>
                    <a:endParaRPr lang="en-US" sz="2000" b="1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F6D5-4235-AA89-D982AE133C7F}"/>
                </c:ext>
              </c:extLst>
            </c:dLbl>
            <c:spPr>
              <a:solidFill>
                <a:schemeClr val="lt1"/>
              </a:solidFill>
              <a:ln w="25400" cap="flat" cmpd="sng" algn="ctr">
                <a:solidFill>
                  <a:schemeClr val="accent1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(Correlation!$G$3,Correlation!$J$3,Correlation!$M$3,Correlation!$P$3,Correlation!$D$3)</c:f>
              <c:strCache>
                <c:ptCount val="5"/>
                <c:pt idx="0">
                  <c:v>Winter</c:v>
                </c:pt>
                <c:pt idx="1">
                  <c:v>Pre monsoon</c:v>
                </c:pt>
                <c:pt idx="2">
                  <c:v>Monsoon</c:v>
                </c:pt>
                <c:pt idx="3">
                  <c:v>Postmonsoon</c:v>
                </c:pt>
                <c:pt idx="4">
                  <c:v>2020 Whole year</c:v>
                </c:pt>
              </c:strCache>
            </c:strRef>
          </c:cat>
          <c:val>
            <c:numRef>
              <c:f>(Correlation!$G$36,Correlation!$J$36,Correlation!$M$36,Correlation!$P$36,Correlation!$D$36)</c:f>
              <c:numCache>
                <c:formatCode>0.00</c:formatCode>
                <c:ptCount val="5"/>
                <c:pt idx="0">
                  <c:v>25.594780089322299</c:v>
                </c:pt>
                <c:pt idx="1">
                  <c:v>39.435128882872597</c:v>
                </c:pt>
                <c:pt idx="2">
                  <c:v>26.283996672195901</c:v>
                </c:pt>
                <c:pt idx="3">
                  <c:v>29.6500460127981</c:v>
                </c:pt>
                <c:pt idx="4">
                  <c:v>29.910604475922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6D5-4235-AA89-D982AE133C7F}"/>
            </c:ext>
          </c:extLst>
        </c:ser>
        <c:ser>
          <c:idx val="3"/>
          <c:order val="3"/>
          <c:tx>
            <c:v>LST (Old city)</c:v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F6D5-4235-AA89-D982AE133C7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>
                        <a:solidFill>
                          <a:schemeClr val="dk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25.9</a:t>
                    </a:r>
                    <a:endParaRPr lang="en-US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F6D5-4235-AA89-D982AE133C7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40.32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F6D5-4235-AA89-D982AE133C7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27.03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F6D5-4235-AA89-D982AE133C7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30.23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F6D5-4235-AA89-D982AE133C7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 sz="2000" b="1">
                        <a:solidFill>
                          <a:schemeClr val="dk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30.46</a:t>
                    </a:r>
                    <a:endParaRPr lang="en-US" sz="2000" b="1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F6D5-4235-AA89-D982AE133C7F}"/>
                </c:ext>
              </c:extLst>
            </c:dLbl>
            <c:spPr>
              <a:solidFill>
                <a:schemeClr val="lt1"/>
              </a:solidFill>
              <a:ln w="25400" cap="flat" cmpd="sng" algn="ctr">
                <a:solidFill>
                  <a:schemeClr val="accent2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(Correlation!$G$3,Correlation!$J$3,Correlation!$M$3,Correlation!$P$3,Correlation!$D$3)</c:f>
              <c:strCache>
                <c:ptCount val="5"/>
                <c:pt idx="0">
                  <c:v>Winter</c:v>
                </c:pt>
                <c:pt idx="1">
                  <c:v>Pre monsoon</c:v>
                </c:pt>
                <c:pt idx="2">
                  <c:v>Monsoon</c:v>
                </c:pt>
                <c:pt idx="3">
                  <c:v>Postmonsoon</c:v>
                </c:pt>
                <c:pt idx="4">
                  <c:v>2020 Whole year</c:v>
                </c:pt>
              </c:strCache>
            </c:strRef>
          </c:cat>
          <c:val>
            <c:numRef>
              <c:f>(Correlation!$G$37,Correlation!$J$37,Correlation!$M$37,Correlation!$P$37,Correlation!$D$37)</c:f>
              <c:numCache>
                <c:formatCode>0.00</c:formatCode>
                <c:ptCount val="5"/>
                <c:pt idx="0">
                  <c:v>25.903654580754001</c:v>
                </c:pt>
                <c:pt idx="1">
                  <c:v>40.317884253909902</c:v>
                </c:pt>
                <c:pt idx="2">
                  <c:v>27.026389323525301</c:v>
                </c:pt>
                <c:pt idx="3">
                  <c:v>30.226520903186898</c:v>
                </c:pt>
                <c:pt idx="4">
                  <c:v>30.4614214013124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6D5-4235-AA89-D982AE133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518208"/>
        <c:axId val="147519744"/>
      </c:barChart>
      <c:lineChart>
        <c:grouping val="standard"/>
        <c:varyColors val="0"/>
        <c:ser>
          <c:idx val="0"/>
          <c:order val="0"/>
          <c:tx>
            <c:v>NDVI (New city)</c:v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0.2695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F6D5-4235-AA89-D982AE133C7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0.2617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F6D5-4235-AA89-D982AE133C7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0.4258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F6D5-4235-AA89-D982AE133C7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0.3477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F6D5-4235-AA89-D982AE133C7F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0" i="0" u="none" strike="noStrike" kern="1200" baseline="0">
                        <a:solidFill>
                          <a:schemeClr val="dk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2000" b="1">
                        <a:solidFill>
                          <a:schemeClr val="dk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0.3164</a:t>
                    </a:r>
                    <a:endParaRPr lang="en-US" sz="2000" b="1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spPr>
                <a:solidFill>
                  <a:schemeClr val="lt1"/>
                </a:solidFill>
                <a:ln w="25400" cap="flat" cmpd="sng" algn="ctr">
                  <a:solidFill>
                    <a:schemeClr val="accent1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0" i="0" u="none" strike="noStrike" kern="1200" baseline="0">
                      <a:solidFill>
                        <a:schemeClr val="dk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F6D5-4235-AA89-D982AE133C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(Correlation!$G$3,Correlation!$J$3,Correlation!$M$3,Correlation!$P$3,Correlation!$D$3)</c:f>
              <c:strCache>
                <c:ptCount val="5"/>
                <c:pt idx="0">
                  <c:v>Winter</c:v>
                </c:pt>
                <c:pt idx="1">
                  <c:v>Pre monsoon</c:v>
                </c:pt>
                <c:pt idx="2">
                  <c:v>Monsoon</c:v>
                </c:pt>
                <c:pt idx="3">
                  <c:v>Postmonsoon</c:v>
                </c:pt>
                <c:pt idx="4">
                  <c:v>2020 Whole year</c:v>
                </c:pt>
              </c:strCache>
            </c:strRef>
          </c:cat>
          <c:val>
            <c:numRef>
              <c:f>(Correlation!$G$46,Correlation!$J$46,Correlation!$M$46,Correlation!$P$46,Correlation!$D$46)</c:f>
              <c:numCache>
                <c:formatCode>General</c:formatCode>
                <c:ptCount val="5"/>
                <c:pt idx="0">
                  <c:v>0.26945634848628902</c:v>
                </c:pt>
                <c:pt idx="1">
                  <c:v>0.26171647842398599</c:v>
                </c:pt>
                <c:pt idx="2">
                  <c:v>0.42577349097177503</c:v>
                </c:pt>
                <c:pt idx="3">
                  <c:v>0.347662857982169</c:v>
                </c:pt>
                <c:pt idx="4">
                  <c:v>0.31639709493085499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6D5-4235-AA89-D982AE133C7F}"/>
            </c:ext>
          </c:extLst>
        </c:ser>
        <c:ser>
          <c:idx val="1"/>
          <c:order val="1"/>
          <c:tx>
            <c:v>NDVI (Old city)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0.1914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F6D5-4235-AA89-D982AE133C7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0.2012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F6D5-4235-AA89-D982AE133C7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0.3086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F6D5-4235-AA89-D982AE133C7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0.2461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F6D5-4235-AA89-D982AE133C7F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dk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2000" b="1">
                        <a:solidFill>
                          <a:schemeClr val="dk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0.2285</a:t>
                    </a:r>
                    <a:endParaRPr lang="en-US" sz="2000" b="1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spPr>
                <a:solidFill>
                  <a:schemeClr val="lt1"/>
                </a:solidFill>
                <a:ln w="25400" cap="flat" cmpd="sng" algn="ctr">
                  <a:solidFill>
                    <a:schemeClr val="accent2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dk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F6D5-4235-AA89-D982AE133C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(Correlation!$G$3,Correlation!$J$3,Correlation!$M$3,Correlation!$P$3,Correlation!$D$3)</c:f>
              <c:strCache>
                <c:ptCount val="5"/>
                <c:pt idx="0">
                  <c:v>Winter</c:v>
                </c:pt>
                <c:pt idx="1">
                  <c:v>Pre monsoon</c:v>
                </c:pt>
                <c:pt idx="2">
                  <c:v>Monsoon</c:v>
                </c:pt>
                <c:pt idx="3">
                  <c:v>Postmonsoon</c:v>
                </c:pt>
                <c:pt idx="4">
                  <c:v>2020 Whole year</c:v>
                </c:pt>
              </c:strCache>
            </c:strRef>
          </c:cat>
          <c:val>
            <c:numRef>
              <c:f>(Correlation!$G$47,Correlation!$J$47,Correlation!$M$47,Correlation!$P$47,Correlation!$D$47)</c:f>
              <c:numCache>
                <c:formatCode>General</c:formatCode>
                <c:ptCount val="5"/>
                <c:pt idx="0">
                  <c:v>0.191441608587469</c:v>
                </c:pt>
                <c:pt idx="1">
                  <c:v>0.20119411111549201</c:v>
                </c:pt>
                <c:pt idx="2">
                  <c:v>0.30856181855130499</c:v>
                </c:pt>
                <c:pt idx="3">
                  <c:v>0.24605404355524399</c:v>
                </c:pt>
                <c:pt idx="4">
                  <c:v>0.228504458180016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6D5-4235-AA89-D982AE133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770176"/>
        <c:axId val="146750464"/>
      </c:lineChart>
      <c:catAx>
        <c:axId val="1475182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519744"/>
        <c:crosses val="autoZero"/>
        <c:auto val="1"/>
        <c:lblAlgn val="ctr"/>
        <c:lblOffset val="100"/>
        <c:noMultiLvlLbl val="0"/>
      </c:catAx>
      <c:valAx>
        <c:axId val="14751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8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LST (C°)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518208"/>
        <c:crosses val="autoZero"/>
        <c:crossBetween val="between"/>
      </c:valAx>
      <c:valAx>
        <c:axId val="14675046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8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NDVI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6770176"/>
        <c:crosses val="max"/>
        <c:crossBetween val="between"/>
      </c:valAx>
      <c:catAx>
        <c:axId val="14677017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8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Seasons</a:t>
                </a:r>
              </a:p>
            </c:rich>
          </c:tx>
          <c:layout>
            <c:manualLayout>
              <c:xMode val="edge"/>
              <c:yMode val="edge"/>
              <c:x val="0.48252348912922316"/>
              <c:y val="0.891075566648017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46750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0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LST &amp; NDBI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v>LST (New)</c:v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151-44A1-8E53-7D8EBDDC50CC}"/>
              </c:ext>
            </c:extLst>
          </c:dPt>
          <c:dLbls>
            <c:spPr>
              <a:solidFill>
                <a:schemeClr val="lt1"/>
              </a:solidFill>
              <a:ln w="25400" cap="flat" cmpd="sng" algn="ctr">
                <a:solidFill>
                  <a:schemeClr val="accent1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(Correlation!$G$3,Correlation!$J$3,Correlation!$M$3,Correlation!$P$3,Correlation!$D$3)</c:f>
              <c:strCache>
                <c:ptCount val="5"/>
                <c:pt idx="0">
                  <c:v>Winter</c:v>
                </c:pt>
                <c:pt idx="1">
                  <c:v>Pre monsoon</c:v>
                </c:pt>
                <c:pt idx="2">
                  <c:v>Monsoon</c:v>
                </c:pt>
                <c:pt idx="3">
                  <c:v>Postmonsoon</c:v>
                </c:pt>
                <c:pt idx="4">
                  <c:v>2020 Whole year</c:v>
                </c:pt>
              </c:strCache>
            </c:strRef>
          </c:cat>
          <c:val>
            <c:numRef>
              <c:f>(Correlation!$G$36,Correlation!$J$36,Correlation!$M$36,Correlation!$P$36,Correlation!$D$36)</c:f>
              <c:numCache>
                <c:formatCode>0.00</c:formatCode>
                <c:ptCount val="5"/>
                <c:pt idx="0">
                  <c:v>25.594780089322299</c:v>
                </c:pt>
                <c:pt idx="1">
                  <c:v>39.435128882872597</c:v>
                </c:pt>
                <c:pt idx="2">
                  <c:v>26.283996672195901</c:v>
                </c:pt>
                <c:pt idx="3">
                  <c:v>29.6500460127981</c:v>
                </c:pt>
                <c:pt idx="4">
                  <c:v>29.910604475922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51-44A1-8E53-7D8EBDDC50CC}"/>
            </c:ext>
          </c:extLst>
        </c:ser>
        <c:ser>
          <c:idx val="3"/>
          <c:order val="3"/>
          <c:tx>
            <c:v>LST (Old)</c:v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5151-44A1-8E53-7D8EBDDC50CC}"/>
              </c:ext>
            </c:extLst>
          </c:dPt>
          <c:dLbls>
            <c:spPr>
              <a:solidFill>
                <a:schemeClr val="lt1"/>
              </a:solidFill>
              <a:ln w="25400" cap="flat" cmpd="sng" algn="ctr">
                <a:solidFill>
                  <a:schemeClr val="accent2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(Correlation!$G$3,Correlation!$J$3,Correlation!$M$3,Correlation!$P$3,Correlation!$D$3)</c:f>
              <c:strCache>
                <c:ptCount val="5"/>
                <c:pt idx="0">
                  <c:v>Winter</c:v>
                </c:pt>
                <c:pt idx="1">
                  <c:v>Pre monsoon</c:v>
                </c:pt>
                <c:pt idx="2">
                  <c:v>Monsoon</c:v>
                </c:pt>
                <c:pt idx="3">
                  <c:v>Postmonsoon</c:v>
                </c:pt>
                <c:pt idx="4">
                  <c:v>2020 Whole year</c:v>
                </c:pt>
              </c:strCache>
            </c:strRef>
          </c:cat>
          <c:val>
            <c:numRef>
              <c:f>(Correlation!$G$37,Correlation!$J$37,Correlation!$M$37,Correlation!$P$37,Correlation!$D$37)</c:f>
              <c:numCache>
                <c:formatCode>0.00</c:formatCode>
                <c:ptCount val="5"/>
                <c:pt idx="0">
                  <c:v>25.903654580754001</c:v>
                </c:pt>
                <c:pt idx="1">
                  <c:v>40.317884253909902</c:v>
                </c:pt>
                <c:pt idx="2">
                  <c:v>27.026389323525301</c:v>
                </c:pt>
                <c:pt idx="3">
                  <c:v>30.226520903186898</c:v>
                </c:pt>
                <c:pt idx="4">
                  <c:v>30.4614214013124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151-44A1-8E53-7D8EBDDC50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9827840"/>
        <c:axId val="159829376"/>
      </c:barChart>
      <c:lineChart>
        <c:grouping val="standard"/>
        <c:varyColors val="0"/>
        <c:ser>
          <c:idx val="0"/>
          <c:order val="0"/>
          <c:tx>
            <c:v>NDBI (New)</c:v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-0.0117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5151-44A1-8E53-7D8EBDDC50C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-0.0137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5151-44A1-8E53-7D8EBDDC50C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-0.1231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5151-44A1-8E53-7D8EBDDC50C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-0.0488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5151-44A1-8E53-7D8EBDDC50CC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dk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2000" b="1">
                        <a:solidFill>
                          <a:schemeClr val="dk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-0.041</a:t>
                    </a:r>
                    <a:endParaRPr lang="en-US" sz="2000" b="1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spPr>
                <a:solidFill>
                  <a:schemeClr val="lt1"/>
                </a:solidFill>
                <a:ln w="25400" cap="flat" cmpd="sng" algn="ctr">
                  <a:solidFill>
                    <a:schemeClr val="accent1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dk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5151-44A1-8E53-7D8EBDDC5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(Correlation!$G$3,Correlation!$J$3,Correlation!$M$3,Correlation!$P$3,Correlation!$D$3)</c:f>
              <c:strCache>
                <c:ptCount val="5"/>
                <c:pt idx="0">
                  <c:v>Winter</c:v>
                </c:pt>
                <c:pt idx="1">
                  <c:v>Pre monsoon</c:v>
                </c:pt>
                <c:pt idx="2">
                  <c:v>Monsoon</c:v>
                </c:pt>
                <c:pt idx="3">
                  <c:v>Postmonsoon</c:v>
                </c:pt>
                <c:pt idx="4">
                  <c:v>2020 Whole year</c:v>
                </c:pt>
              </c:strCache>
            </c:strRef>
          </c:cat>
          <c:val>
            <c:numRef>
              <c:f>(Correlation!$G$51,Correlation!$J$51,Correlation!$M$51,Correlation!$P$51,Correlation!$D$51)</c:f>
              <c:numCache>
                <c:formatCode>General</c:formatCode>
                <c:ptCount val="5"/>
                <c:pt idx="0">
                  <c:v>-1.16795989597349E-2</c:v>
                </c:pt>
                <c:pt idx="1">
                  <c:v>-1.36699217364667E-2</c:v>
                </c:pt>
                <c:pt idx="2">
                  <c:v>-0.12307379491408001</c:v>
                </c:pt>
                <c:pt idx="3">
                  <c:v>-4.8826384547335802E-2</c:v>
                </c:pt>
                <c:pt idx="4">
                  <c:v>-4.0992022494926103E-2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151-44A1-8E53-7D8EBDDC50CC}"/>
            </c:ext>
          </c:extLst>
        </c:ser>
        <c:ser>
          <c:idx val="1"/>
          <c:order val="1"/>
          <c:tx>
            <c:v>NDBI (Old)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0.0176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5151-44A1-8E53-7D8EBDDC50CC}"/>
                </c:ext>
              </c:extLst>
            </c:dLbl>
            <c:dLbl>
              <c:idx val="1"/>
              <c:layout>
                <c:manualLayout>
                  <c:x val="-4.811468722927599E-2"/>
                  <c:y val="-4.458131656540952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0.0098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5151-44A1-8E53-7D8EBDDC50C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-0.0605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5151-44A1-8E53-7D8EBDDC50C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-0.002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5151-44A1-8E53-7D8EBDDC50CC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dk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2000" b="1">
                        <a:solidFill>
                          <a:schemeClr val="dk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-0.002</a:t>
                    </a:r>
                    <a:endParaRPr lang="en-US" sz="2000" b="1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spPr>
                <a:solidFill>
                  <a:schemeClr val="lt1"/>
                </a:solidFill>
                <a:ln w="25400" cap="flat" cmpd="sng" algn="ctr">
                  <a:solidFill>
                    <a:schemeClr val="accent2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dk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5151-44A1-8E53-7D8EBDDC5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(Correlation!$G$3,Correlation!$J$3,Correlation!$M$3,Correlation!$P$3,Correlation!$D$3)</c:f>
              <c:strCache>
                <c:ptCount val="5"/>
                <c:pt idx="0">
                  <c:v>Winter</c:v>
                </c:pt>
                <c:pt idx="1">
                  <c:v>Pre monsoon</c:v>
                </c:pt>
                <c:pt idx="2">
                  <c:v>Monsoon</c:v>
                </c:pt>
                <c:pt idx="3">
                  <c:v>Postmonsoon</c:v>
                </c:pt>
                <c:pt idx="4">
                  <c:v>2020 Whole year</c:v>
                </c:pt>
              </c:strCache>
            </c:strRef>
          </c:cat>
          <c:val>
            <c:numRef>
              <c:f>(Correlation!$G$52,Correlation!$J$52,Correlation!$M$52,Correlation!$P$52,Correlation!$D$52)</c:f>
              <c:numCache>
                <c:formatCode>General</c:formatCode>
                <c:ptCount val="5"/>
                <c:pt idx="0">
                  <c:v>1.76108951810925E-2</c:v>
                </c:pt>
                <c:pt idx="1">
                  <c:v>9.7970818473269404E-3</c:v>
                </c:pt>
                <c:pt idx="2">
                  <c:v>-6.0543244821571598E-2</c:v>
                </c:pt>
                <c:pt idx="3">
                  <c:v>-1.9932913913485398E-3</c:v>
                </c:pt>
                <c:pt idx="4">
                  <c:v>-1.96486300923783E-3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151-44A1-8E53-7D8EBDDC50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9837184"/>
        <c:axId val="159835648"/>
      </c:lineChart>
      <c:catAx>
        <c:axId val="1598278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9829376"/>
        <c:crosses val="autoZero"/>
        <c:auto val="1"/>
        <c:lblAlgn val="ctr"/>
        <c:lblOffset val="100"/>
        <c:noMultiLvlLbl val="0"/>
      </c:catAx>
      <c:valAx>
        <c:axId val="15982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8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LST(C°)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9827840"/>
        <c:crosses val="autoZero"/>
        <c:crossBetween val="between"/>
      </c:valAx>
      <c:valAx>
        <c:axId val="15983564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8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NDBI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9837184"/>
        <c:crosses val="max"/>
        <c:crossBetween val="between"/>
      </c:valAx>
      <c:catAx>
        <c:axId val="159837184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8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Seasons</a:t>
                </a:r>
              </a:p>
            </c:rich>
          </c:tx>
          <c:layout>
            <c:manualLayout>
              <c:xMode val="edge"/>
              <c:yMode val="edge"/>
              <c:x val="0.48552718942821083"/>
              <c:y val="0.880892017334162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598356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381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104774</xdr:colOff>
      <xdr:row>21</xdr:row>
      <xdr:rowOff>142875</xdr:rowOff>
    </xdr:from>
    <xdr:to>
      <xdr:col>12</xdr:col>
      <xdr:colOff>76200</xdr:colOff>
      <xdr:row>36</xdr:row>
      <xdr:rowOff>123825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371474</xdr:colOff>
      <xdr:row>21</xdr:row>
      <xdr:rowOff>76200</xdr:rowOff>
    </xdr:from>
    <xdr:to>
      <xdr:col>21</xdr:col>
      <xdr:colOff>495300</xdr:colOff>
      <xdr:row>39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99060</xdr:colOff>
      <xdr:row>45</xdr:row>
      <xdr:rowOff>129540</xdr:rowOff>
    </xdr:from>
    <xdr:to>
      <xdr:col>19</xdr:col>
      <xdr:colOff>220979</xdr:colOff>
      <xdr:row>69</xdr:row>
      <xdr:rowOff>114299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594360</xdr:colOff>
      <xdr:row>72</xdr:row>
      <xdr:rowOff>112394</xdr:rowOff>
    </xdr:from>
    <xdr:to>
      <xdr:col>31</xdr:col>
      <xdr:colOff>426720</xdr:colOff>
      <xdr:row>97</xdr:row>
      <xdr:rowOff>22860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457199</xdr:colOff>
      <xdr:row>88</xdr:row>
      <xdr:rowOff>95249</xdr:rowOff>
    </xdr:from>
    <xdr:to>
      <xdr:col>13</xdr:col>
      <xdr:colOff>600074</xdr:colOff>
      <xdr:row>105</xdr:row>
      <xdr:rowOff>161924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523876</xdr:colOff>
      <xdr:row>107</xdr:row>
      <xdr:rowOff>76200</xdr:rowOff>
    </xdr:from>
    <xdr:to>
      <xdr:col>16</xdr:col>
      <xdr:colOff>514350</xdr:colOff>
      <xdr:row>124</xdr:row>
      <xdr:rowOff>114300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34</xdr:col>
      <xdr:colOff>464943</xdr:colOff>
      <xdr:row>78</xdr:row>
      <xdr:rowOff>161206</xdr:rowOff>
    </xdr:from>
    <xdr:to>
      <xdr:col>52</xdr:col>
      <xdr:colOff>412217</xdr:colOff>
      <xdr:row>106</xdr:row>
      <xdr:rowOff>179134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583096</xdr:colOff>
      <xdr:row>147</xdr:row>
      <xdr:rowOff>172278</xdr:rowOff>
    </xdr:from>
    <xdr:to>
      <xdr:col>17</xdr:col>
      <xdr:colOff>245165</xdr:colOff>
      <xdr:row>171</xdr:row>
      <xdr:rowOff>106018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174</xdr:row>
      <xdr:rowOff>47209</xdr:rowOff>
    </xdr:from>
    <xdr:to>
      <xdr:col>18</xdr:col>
      <xdr:colOff>231913</xdr:colOff>
      <xdr:row>199</xdr:row>
      <xdr:rowOff>53008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457199</xdr:colOff>
      <xdr:row>0</xdr:row>
      <xdr:rowOff>175260</xdr:rowOff>
    </xdr:from>
    <xdr:to>
      <xdr:col>26</xdr:col>
      <xdr:colOff>332508</xdr:colOff>
      <xdr:row>37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1E3AFE-02A4-415B-AA8A-657273E3F0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272142</xdr:colOff>
      <xdr:row>40</xdr:row>
      <xdr:rowOff>119744</xdr:rowOff>
    </xdr:from>
    <xdr:to>
      <xdr:col>26</xdr:col>
      <xdr:colOff>108857</xdr:colOff>
      <xdr:row>77</xdr:row>
      <xdr:rowOff>108857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98DB5E-777D-456F-A0F6-62C3C90046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ctober" connectionId="25" xr16:uid="{00000000-0016-0000-00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June" connectionId="15" xr16:uid="{00000000-0016-0000-0000-00000900000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ebruary" connectionId="8" xr16:uid="{00000000-0016-0000-0000-00000E000000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rch" connectionId="17" xr16:uid="{00000000-0016-0000-0000-00000C000000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ovember" connectionId="23" xr16:uid="{00000000-0016-0000-0000-000004000000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st monsoon" connectionId="27" xr16:uid="{00000000-0016-0000-0000-00000A000000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0" connectionId="1" xr16:uid="{00000000-0016-0000-0000-000003000000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nsoon" connectionId="21" xr16:uid="{00000000-0016-0000-0000-000006000000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inter" connectionId="35" xr16:uid="{00000000-0016-0000-0000-00000F000000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ptember" connectionId="32" xr16:uid="{00000000-0016-0000-0000-000007000000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January" connectionId="10" xr16:uid="{00000000-0016-0000-0000-000002000000}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July" connectionId="12" xr16:uid="{00000000-0016-0000-0000-00000D000000}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July_1" connectionId="13" xr16:uid="{00000000-0016-0000-0000-000010000000}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cember" connectionId="6" xr16:uid="{00000000-0016-0000-0000-000001000000}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pril" connectionId="3" xr16:uid="{00000000-0016-0000-0000-00000B000000}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re monsoon" connectionId="30" xr16:uid="{00000000-0016-0000-0000-000005000000}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y" connectionId="19" xr16:uid="{00000000-0016-0000-0000-000008000000}" autoFormatId="16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June" connectionId="16" xr16:uid="{00000000-0016-0000-0100-00001D000000}" autoFormatId="16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y" connectionId="20" xr16:uid="{00000000-0016-0000-0100-00001E000000}" autoFormatId="16" applyNumberFormats="0" applyBorderFormats="0" applyFontFormats="1" applyPatternFormats="1" applyAlignmentFormats="0" applyWidthHeightFormats="0"/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0" connectionId="2" xr16:uid="{00000000-0016-0000-0100-000015000000}" autoFormatId="16" applyNumberFormats="0" applyBorderFormats="0" applyFontFormats="1" applyPatternFormats="1" applyAlignmentFormats="0" applyWidthHeightFormats="0"/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rch" connectionId="18" xr16:uid="{00000000-0016-0000-0100-000021000000}" autoFormatId="16" applyNumberFormats="0" applyBorderFormats="0" applyFontFormats="1" applyPatternFormats="1" applyAlignmentFormats="0" applyWidthHeightFormats="0"/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st monsoon" connectionId="28" xr16:uid="{00000000-0016-0000-0100-00001A000000}" autoFormatId="16" applyNumberFormats="0" applyBorderFormats="0" applyFontFormats="1" applyPatternFormats="1" applyAlignmentFormats="0" applyWidthHeightFormats="0"/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pril 2020" connectionId="4" xr16:uid="{00000000-0016-0000-0100-000016000000}" autoFormatId="16" applyNumberFormats="0" applyBorderFormats="0" applyFontFormats="1" applyPatternFormats="1" applyAlignmentFormats="0" applyWidthHeightFormats="0"/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ctober" connectionId="26" xr16:uid="{00000000-0016-0000-0100-000011000000}" autoFormatId="16" applyNumberFormats="0" applyBorderFormats="0" applyFontFormats="1" applyPatternFormats="1" applyAlignmentFormats="0" applyWidthHeightFormats="0"/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ptember" connectionId="33" xr16:uid="{00000000-0016-0000-0100-000013000000}" autoFormatId="16" applyNumberFormats="0" applyBorderFormats="0" applyFontFormats="1" applyPatternFormats="1" applyAlignmentFormats="0" applyWidthHeightFormats="0"/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inter" connectionId="36" xr16:uid="{00000000-0016-0000-0100-00001B000000}" autoFormatId="16" applyNumberFormats="0" applyBorderFormats="0" applyFontFormats="1" applyPatternFormats="1" applyAlignmentFormats="0" applyWidthHeightFormats="0"/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nsoon" connectionId="22" xr16:uid="{00000000-0016-0000-0100-000020000000}" autoFormatId="16" applyNumberFormats="0" applyBorderFormats="0" applyFontFormats="1" applyPatternFormats="1" applyAlignmentFormats="0" applyWidthHeightFormats="0"/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January" connectionId="11" xr16:uid="{00000000-0016-0000-0100-000017000000}" autoFormatId="16" applyNumberFormats="0" applyBorderFormats="0" applyFontFormats="1" applyPatternFormats="1" applyAlignmentFormats="0" applyWidthHeightFormats="0"/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cember" connectionId="7" xr16:uid="{00000000-0016-0000-0100-000014000000}" autoFormatId="16" applyNumberFormats="0" applyBorderFormats="0" applyFontFormats="1" applyPatternFormats="1" applyAlignmentFormats="0" applyWidthHeightFormats="0"/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ebruary" connectionId="9" xr16:uid="{00000000-0016-0000-0100-000012000000}" autoFormatId="16" applyNumberFormats="0" applyBorderFormats="0" applyFontFormats="1" applyPatternFormats="1" applyAlignmentFormats="0" applyWidthHeightFormats="0"/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re monsoon" connectionId="31" xr16:uid="{00000000-0016-0000-0100-000019000000}" autoFormatId="16" applyNumberFormats="0" applyBorderFormats="0" applyFontFormats="1" applyPatternFormats="1" applyAlignmentFormats="0" applyWidthHeightFormats="0"/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ovember" connectionId="24" xr16:uid="{00000000-0016-0000-0100-00001F000000}" autoFormatId="16" applyNumberFormats="0" applyBorderFormats="0" applyFontFormats="1" applyPatternFormats="1" applyAlignmentFormats="0" applyWidthHeightFormats="0"/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July" connectionId="14" xr16:uid="{00000000-0016-0000-0100-000018000000}" autoFormatId="16" applyNumberFormats="0" applyBorderFormats="0" applyFontFormats="1" applyPatternFormats="1" applyAlignmentFormats="0" applyWidthHeightFormats="0"/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gust" connectionId="5" xr16:uid="{00000000-0016-0000-0100-00001C000000}" autoFormatId="16" applyNumberFormats="0" applyBorderFormats="0" applyFontFormats="1" applyPatternFormats="1" applyAlignmentFormats="0" applyWidthHeightFormats="0"/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st monsoon" connectionId="29" xr16:uid="{00000000-0016-0000-0200-000023000000}" autoFormatId="16" applyNumberFormats="0" applyBorderFormats="0" applyFontFormats="1" applyPatternFormats="1" applyAlignmentFormats="0" applyWidthHeightFormats="0"/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mmer" connectionId="34" xr16:uid="{00000000-0016-0000-0200-000022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7.xml"/><Relationship Id="rId13" Type="http://schemas.openxmlformats.org/officeDocument/2006/relationships/queryTable" Target="../queryTables/queryTable12.xml"/><Relationship Id="rId18" Type="http://schemas.openxmlformats.org/officeDocument/2006/relationships/queryTable" Target="../queryTables/queryTable17.xml"/><Relationship Id="rId3" Type="http://schemas.openxmlformats.org/officeDocument/2006/relationships/queryTable" Target="../queryTables/queryTable2.xml"/><Relationship Id="rId7" Type="http://schemas.openxmlformats.org/officeDocument/2006/relationships/queryTable" Target="../queryTables/queryTable6.xml"/><Relationship Id="rId12" Type="http://schemas.openxmlformats.org/officeDocument/2006/relationships/queryTable" Target="../queryTables/queryTable11.xml"/><Relationship Id="rId17" Type="http://schemas.openxmlformats.org/officeDocument/2006/relationships/queryTable" Target="../queryTables/queryTable16.xml"/><Relationship Id="rId2" Type="http://schemas.openxmlformats.org/officeDocument/2006/relationships/queryTable" Target="../queryTables/queryTable1.xml"/><Relationship Id="rId16" Type="http://schemas.openxmlformats.org/officeDocument/2006/relationships/queryTable" Target="../queryTables/queryTable15.xml"/><Relationship Id="rId1" Type="http://schemas.openxmlformats.org/officeDocument/2006/relationships/printerSettings" Target="../printerSettings/printerSettings1.bin"/><Relationship Id="rId6" Type="http://schemas.openxmlformats.org/officeDocument/2006/relationships/queryTable" Target="../queryTables/queryTable5.xml"/><Relationship Id="rId11" Type="http://schemas.openxmlformats.org/officeDocument/2006/relationships/queryTable" Target="../queryTables/queryTable10.xml"/><Relationship Id="rId5" Type="http://schemas.openxmlformats.org/officeDocument/2006/relationships/queryTable" Target="../queryTables/queryTable4.xml"/><Relationship Id="rId15" Type="http://schemas.openxmlformats.org/officeDocument/2006/relationships/queryTable" Target="../queryTables/queryTable14.xml"/><Relationship Id="rId10" Type="http://schemas.openxmlformats.org/officeDocument/2006/relationships/queryTable" Target="../queryTables/queryTable9.xml"/><Relationship Id="rId4" Type="http://schemas.openxmlformats.org/officeDocument/2006/relationships/queryTable" Target="../queryTables/queryTable3.xml"/><Relationship Id="rId9" Type="http://schemas.openxmlformats.org/officeDocument/2006/relationships/queryTable" Target="../queryTables/queryTable8.xml"/><Relationship Id="rId14" Type="http://schemas.openxmlformats.org/officeDocument/2006/relationships/queryTable" Target="../queryTables/queryTable13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25.xml"/><Relationship Id="rId13" Type="http://schemas.openxmlformats.org/officeDocument/2006/relationships/queryTable" Target="../queryTables/queryTable30.xml"/><Relationship Id="rId3" Type="http://schemas.openxmlformats.org/officeDocument/2006/relationships/queryTable" Target="../queryTables/queryTable20.xml"/><Relationship Id="rId7" Type="http://schemas.openxmlformats.org/officeDocument/2006/relationships/queryTable" Target="../queryTables/queryTable24.xml"/><Relationship Id="rId12" Type="http://schemas.openxmlformats.org/officeDocument/2006/relationships/queryTable" Target="../queryTables/queryTable29.xml"/><Relationship Id="rId17" Type="http://schemas.openxmlformats.org/officeDocument/2006/relationships/queryTable" Target="../queryTables/queryTable34.xml"/><Relationship Id="rId2" Type="http://schemas.openxmlformats.org/officeDocument/2006/relationships/queryTable" Target="../queryTables/queryTable19.xml"/><Relationship Id="rId16" Type="http://schemas.openxmlformats.org/officeDocument/2006/relationships/queryTable" Target="../queryTables/queryTable33.xml"/><Relationship Id="rId1" Type="http://schemas.openxmlformats.org/officeDocument/2006/relationships/queryTable" Target="../queryTables/queryTable18.xml"/><Relationship Id="rId6" Type="http://schemas.openxmlformats.org/officeDocument/2006/relationships/queryTable" Target="../queryTables/queryTable23.xml"/><Relationship Id="rId11" Type="http://schemas.openxmlformats.org/officeDocument/2006/relationships/queryTable" Target="../queryTables/queryTable28.xml"/><Relationship Id="rId5" Type="http://schemas.openxmlformats.org/officeDocument/2006/relationships/queryTable" Target="../queryTables/queryTable22.xml"/><Relationship Id="rId15" Type="http://schemas.openxmlformats.org/officeDocument/2006/relationships/queryTable" Target="../queryTables/queryTable32.xml"/><Relationship Id="rId10" Type="http://schemas.openxmlformats.org/officeDocument/2006/relationships/queryTable" Target="../queryTables/queryTable27.xml"/><Relationship Id="rId4" Type="http://schemas.openxmlformats.org/officeDocument/2006/relationships/queryTable" Target="../queryTables/queryTable21.xml"/><Relationship Id="rId9" Type="http://schemas.openxmlformats.org/officeDocument/2006/relationships/queryTable" Target="../queryTables/queryTable26.xml"/><Relationship Id="rId14" Type="http://schemas.openxmlformats.org/officeDocument/2006/relationships/queryTable" Target="../queryTables/queryTable3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6.xml"/><Relationship Id="rId2" Type="http://schemas.openxmlformats.org/officeDocument/2006/relationships/queryTable" Target="../queryTables/queryTable35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"/>
  <sheetViews>
    <sheetView workbookViewId="0">
      <pane ySplit="1" topLeftCell="A8" activePane="bottomLeft" state="frozen"/>
      <selection pane="bottomLeft" activeCell="C30" sqref="C30"/>
    </sheetView>
  </sheetViews>
  <sheetFormatPr defaultRowHeight="14.45"/>
  <cols>
    <col min="1" max="1" width="14.140625" bestFit="1" customWidth="1"/>
    <col min="2" max="2" width="12.85546875" bestFit="1" customWidth="1"/>
    <col min="3" max="3" width="7.85546875" customWidth="1"/>
    <col min="4" max="4" width="12" bestFit="1" customWidth="1"/>
    <col min="5" max="5" width="8.5703125" customWidth="1"/>
    <col min="6" max="6" width="12" bestFit="1" customWidth="1"/>
    <col min="7" max="10" width="12" customWidth="1"/>
    <col min="11" max="11" width="8.140625" customWidth="1"/>
    <col min="12" max="14" width="12" customWidth="1"/>
    <col min="15" max="15" width="12.7109375" bestFit="1" customWidth="1"/>
    <col min="16" max="16" width="12" customWidth="1"/>
    <col min="17" max="17" width="12.7109375" bestFit="1" customWidth="1"/>
    <col min="18" max="18" width="12" customWidth="1"/>
    <col min="19" max="19" width="7.5703125" customWidth="1"/>
    <col min="20" max="20" width="12" bestFit="1" customWidth="1"/>
    <col min="21" max="21" width="8.28515625" customWidth="1"/>
    <col min="22" max="22" width="8.28515625" bestFit="1" customWidth="1"/>
    <col min="23" max="24" width="12.7109375" customWidth="1"/>
    <col min="25" max="25" width="11.7109375" customWidth="1"/>
    <col min="26" max="26" width="12.7109375" customWidth="1"/>
    <col min="27" max="27" width="12.7109375" bestFit="1" customWidth="1"/>
    <col min="28" max="28" width="4.85546875" bestFit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</row>
    <row r="3" spans="1:27">
      <c r="A3" s="2" t="s">
        <v>24</v>
      </c>
      <c r="B3">
        <v>300.5</v>
      </c>
      <c r="C3">
        <v>28.289542347289199</v>
      </c>
      <c r="D3">
        <v>0.98999999988495602</v>
      </c>
      <c r="E3">
        <v>0.99999997123916695</v>
      </c>
      <c r="F3">
        <v>0.41034102439880299</v>
      </c>
      <c r="G3">
        <v>0.847858726978302</v>
      </c>
      <c r="H3">
        <v>0.72409909963607699</v>
      </c>
      <c r="I3">
        <v>0.84671533107757502</v>
      </c>
      <c r="K3">
        <v>296.5</v>
      </c>
      <c r="L3">
        <v>0.98713685471301305</v>
      </c>
      <c r="M3">
        <v>0.28516273158204403</v>
      </c>
      <c r="N3">
        <v>24.267216227511</v>
      </c>
      <c r="O3">
        <v>-1.9509794130203099E-2</v>
      </c>
      <c r="P3">
        <v>0.27734977859988802</v>
      </c>
      <c r="Q3">
        <v>-0.33201425464959899</v>
      </c>
      <c r="R3">
        <v>0.13669353893825101</v>
      </c>
      <c r="T3">
        <v>292.85000000000002</v>
      </c>
      <c r="U3">
        <v>20.451117089167901</v>
      </c>
      <c r="V3">
        <v>0.98599999999999999</v>
      </c>
      <c r="W3" s="1">
        <v>5.92764581207547E-19</v>
      </c>
      <c r="X3">
        <v>-0.66930693387985196</v>
      </c>
      <c r="Y3">
        <v>-0.37076398730277998</v>
      </c>
      <c r="Z3">
        <v>-0.63442230224609297</v>
      </c>
      <c r="AA3">
        <v>-0.50773221254348699</v>
      </c>
    </row>
    <row r="4" spans="1:27">
      <c r="A4" s="2" t="s">
        <v>25</v>
      </c>
      <c r="B4">
        <v>306.60000000000002</v>
      </c>
      <c r="C4">
        <v>34.455589864894897</v>
      </c>
      <c r="D4">
        <v>0.98999999982641196</v>
      </c>
      <c r="E4">
        <v>0.99999995660306296</v>
      </c>
      <c r="F4">
        <v>0.49030625820159901</v>
      </c>
      <c r="G4">
        <v>0.83299529552459695</v>
      </c>
      <c r="H4">
        <v>0.75609755516052202</v>
      </c>
      <c r="I4">
        <v>0.73870331048965399</v>
      </c>
      <c r="K4">
        <v>301.39999999996797</v>
      </c>
      <c r="L4">
        <v>0.98725894729942898</v>
      </c>
      <c r="M4">
        <v>0.31051657141373901</v>
      </c>
      <c r="N4">
        <v>29.211967339985499</v>
      </c>
      <c r="O4">
        <v>3.8763720928247699E-3</v>
      </c>
      <c r="P4">
        <v>0.253863455225533</v>
      </c>
      <c r="Q4">
        <v>-0.33989298838207899</v>
      </c>
      <c r="R4">
        <v>9.7628051478717004E-2</v>
      </c>
      <c r="T4">
        <v>293.60000000000002</v>
      </c>
      <c r="U4">
        <v>21.1642903548757</v>
      </c>
      <c r="V4">
        <v>0.98599999999999999</v>
      </c>
      <c r="W4" s="1">
        <v>1.5623899450454502E-17</v>
      </c>
      <c r="X4">
        <v>-0.66428232192993097</v>
      </c>
      <c r="Y4">
        <v>-0.47826087474822998</v>
      </c>
      <c r="Z4">
        <v>-0.69488251209259</v>
      </c>
      <c r="AA4">
        <v>-0.44930174946784901</v>
      </c>
    </row>
    <row r="5" spans="1:27">
      <c r="A5" s="2" t="s">
        <v>26</v>
      </c>
      <c r="B5">
        <v>312.8</v>
      </c>
      <c r="C5">
        <v>40.704377112933201</v>
      </c>
      <c r="D5">
        <v>0.99000000011178502</v>
      </c>
      <c r="E5">
        <v>1.00000002794645</v>
      </c>
      <c r="F5">
        <v>0.37303274869918801</v>
      </c>
      <c r="G5">
        <v>0.80454957485198897</v>
      </c>
      <c r="H5">
        <v>0.484688490629196</v>
      </c>
      <c r="I5">
        <v>0.72372490167617798</v>
      </c>
      <c r="K5">
        <v>305.300805744429</v>
      </c>
      <c r="L5">
        <v>0.98701462441757104</v>
      </c>
      <c r="M5">
        <v>0.25388139596637299</v>
      </c>
      <c r="N5">
        <v>33.186363552419202</v>
      </c>
      <c r="O5">
        <v>1.91435814777255E-3</v>
      </c>
      <c r="P5">
        <v>0.25389750301185798</v>
      </c>
      <c r="Q5">
        <v>-0.33983826085489599</v>
      </c>
      <c r="R5">
        <v>9.7619740024587606E-2</v>
      </c>
      <c r="T5">
        <v>296.3</v>
      </c>
      <c r="U5">
        <v>24.129196459712201</v>
      </c>
      <c r="V5">
        <v>0.98599999999999999</v>
      </c>
      <c r="W5" s="1">
        <v>4.5605184429351402E-17</v>
      </c>
      <c r="X5">
        <v>-0.48824021220207198</v>
      </c>
      <c r="Y5">
        <v>-0.31794425845146101</v>
      </c>
      <c r="Z5">
        <v>-0.58679515123367298</v>
      </c>
      <c r="AA5">
        <v>-0.33782568573951699</v>
      </c>
    </row>
    <row r="6" spans="1:27">
      <c r="A6" s="2" t="s">
        <v>27</v>
      </c>
      <c r="B6">
        <v>319.7</v>
      </c>
      <c r="C6">
        <v>47.671142123854601</v>
      </c>
      <c r="D6">
        <v>0.98999999988466503</v>
      </c>
      <c r="E6">
        <v>0.99999997116630901</v>
      </c>
      <c r="F6">
        <v>0.33640551567077598</v>
      </c>
      <c r="G6">
        <v>0.82982254028320301</v>
      </c>
      <c r="H6">
        <v>0.42702966928482</v>
      </c>
      <c r="I6">
        <v>0.73691254854202204</v>
      </c>
      <c r="K6">
        <v>312.79949706580902</v>
      </c>
      <c r="L6">
        <v>0.98692309167440495</v>
      </c>
      <c r="M6">
        <v>0.22852832299407799</v>
      </c>
      <c r="N6">
        <v>40.687321286906503</v>
      </c>
      <c r="O6">
        <v>-9.7580474633021108E-3</v>
      </c>
      <c r="P6">
        <v>0.26168791886856102</v>
      </c>
      <c r="Q6">
        <v>-0.33985215007937403</v>
      </c>
      <c r="R6">
        <v>0.113271754516425</v>
      </c>
      <c r="T6">
        <v>302.55</v>
      </c>
      <c r="U6">
        <v>30.4189987222653</v>
      </c>
      <c r="V6">
        <v>0.98599999999999999</v>
      </c>
      <c r="W6" s="1">
        <v>1.3325966477089399E-16</v>
      </c>
      <c r="X6">
        <v>-0.51507246494293202</v>
      </c>
      <c r="Y6">
        <v>-0.267374336719512</v>
      </c>
      <c r="Z6">
        <v>-0.58314669132232599</v>
      </c>
      <c r="AA6">
        <v>-0.26970648765563898</v>
      </c>
    </row>
    <row r="7" spans="1:27">
      <c r="A7" s="2" t="s">
        <v>28</v>
      </c>
      <c r="B7">
        <v>318.3</v>
      </c>
      <c r="C7">
        <v>46.252367008280402</v>
      </c>
      <c r="D7">
        <v>0.990000000003046</v>
      </c>
      <c r="E7">
        <v>1.0000000007616801</v>
      </c>
      <c r="F7">
        <v>0.30918669700622498</v>
      </c>
      <c r="G7">
        <v>0.79926943778991699</v>
      </c>
      <c r="H7">
        <v>0.43122100830078097</v>
      </c>
      <c r="I7">
        <v>0.70324069261550903</v>
      </c>
      <c r="K7">
        <v>312.40000000000202</v>
      </c>
      <c r="L7">
        <v>0.98677070564734404</v>
      </c>
      <c r="M7">
        <v>0.19141103312920901</v>
      </c>
      <c r="N7">
        <v>40.281513120795601</v>
      </c>
      <c r="O7">
        <v>-9.7683113736951495E-3</v>
      </c>
      <c r="P7">
        <v>0.24806851067323901</v>
      </c>
      <c r="Q7">
        <v>-0.32423431378539302</v>
      </c>
      <c r="R7">
        <v>0.12108655819886401</v>
      </c>
      <c r="T7">
        <v>303.10000000000002</v>
      </c>
      <c r="U7">
        <v>30.971636326189</v>
      </c>
      <c r="V7">
        <v>0.98599999999999999</v>
      </c>
      <c r="W7" s="1">
        <v>1.9446360644430001E-17</v>
      </c>
      <c r="X7">
        <v>-0.46922698616981501</v>
      </c>
      <c r="Y7">
        <v>-0.180777177214622</v>
      </c>
      <c r="Z7">
        <v>-0.58302581310272195</v>
      </c>
      <c r="AA7">
        <v>-0.35516548156738198</v>
      </c>
    </row>
    <row r="8" spans="1:27">
      <c r="A8" s="2" t="s">
        <v>29</v>
      </c>
      <c r="B8">
        <v>307.7</v>
      </c>
      <c r="C8">
        <v>35.573417192621598</v>
      </c>
      <c r="D8">
        <v>0.98999999979870701</v>
      </c>
      <c r="E8">
        <v>0.99999994967694805</v>
      </c>
      <c r="F8">
        <v>0.34220266342163003</v>
      </c>
      <c r="G8">
        <v>0.88428539037704401</v>
      </c>
      <c r="H8">
        <v>0.30600461363792397</v>
      </c>
      <c r="I8">
        <v>0.73694193363189697</v>
      </c>
      <c r="K8">
        <v>300.99999999999898</v>
      </c>
      <c r="L8">
        <v>0.98670966610963096</v>
      </c>
      <c r="M8">
        <v>0.17381414752461</v>
      </c>
      <c r="N8">
        <v>28.838691830473898</v>
      </c>
      <c r="O8">
        <v>-3.7083815348934498E-2</v>
      </c>
      <c r="P8">
        <v>0.27736163519580198</v>
      </c>
      <c r="Q8">
        <v>-0.31645585265905601</v>
      </c>
      <c r="R8">
        <v>0.18356954188202901</v>
      </c>
      <c r="T8">
        <v>291.89999999999998</v>
      </c>
      <c r="U8">
        <v>19.6949646078779</v>
      </c>
      <c r="V8">
        <v>0.98599999999999999</v>
      </c>
      <c r="W8" s="1">
        <v>1.50822289059775E-17</v>
      </c>
      <c r="X8">
        <v>-0.48067596554756098</v>
      </c>
      <c r="Y8">
        <v>-0.16164584457874201</v>
      </c>
      <c r="Z8">
        <v>-0.84047019481658902</v>
      </c>
      <c r="AA8">
        <v>-0.46261215209960899</v>
      </c>
    </row>
    <row r="9" spans="1:27">
      <c r="A9" s="2" t="s">
        <v>30</v>
      </c>
      <c r="B9">
        <v>304.8</v>
      </c>
      <c r="C9">
        <v>32.669878156670599</v>
      </c>
      <c r="D9">
        <v>0.98999999983475395</v>
      </c>
      <c r="E9">
        <v>0.99999995868851399</v>
      </c>
      <c r="F9">
        <v>0.58333331346511796</v>
      </c>
      <c r="G9">
        <v>0.98878926038741999</v>
      </c>
      <c r="H9">
        <v>0.76184380054473799</v>
      </c>
      <c r="I9">
        <v>0.85304248332977295</v>
      </c>
      <c r="K9">
        <v>298.09999999998598</v>
      </c>
      <c r="L9">
        <v>0.98695366905878301</v>
      </c>
      <c r="M9">
        <v>0.23825808065744999</v>
      </c>
      <c r="N9">
        <v>25.843433592330101</v>
      </c>
      <c r="O9">
        <v>-0.128894385159699</v>
      </c>
      <c r="P9">
        <v>0.42578866928577802</v>
      </c>
      <c r="Q9">
        <v>-0.31643565289106002</v>
      </c>
      <c r="R9">
        <v>0.324194281717338</v>
      </c>
      <c r="T9">
        <v>291.75</v>
      </c>
      <c r="U9">
        <v>19.374939370517801</v>
      </c>
      <c r="V9">
        <v>0.98599999999999999</v>
      </c>
      <c r="W9" s="1">
        <v>5.6648514215647204E-19</v>
      </c>
      <c r="X9">
        <v>-0.79333335161209095</v>
      </c>
      <c r="Y9">
        <v>-0.111111111938953</v>
      </c>
      <c r="Z9">
        <v>-0.96161615848541204</v>
      </c>
      <c r="AA9">
        <v>-0.593023240566253</v>
      </c>
    </row>
    <row r="10" spans="1:27">
      <c r="A10" s="2" t="s">
        <v>31</v>
      </c>
      <c r="B10">
        <v>304.8</v>
      </c>
      <c r="C10">
        <v>32.669878156670599</v>
      </c>
      <c r="D10">
        <v>0.98999999983475395</v>
      </c>
      <c r="E10">
        <v>0.99999995868851399</v>
      </c>
      <c r="F10">
        <v>0.58333331346511796</v>
      </c>
      <c r="G10">
        <v>0.98878926038741999</v>
      </c>
      <c r="H10">
        <v>0.76184380054473799</v>
      </c>
      <c r="I10">
        <v>0.85304248332977295</v>
      </c>
      <c r="K10">
        <v>298.09999999998598</v>
      </c>
      <c r="L10">
        <v>0.98695366905878301</v>
      </c>
      <c r="M10">
        <v>0.23825808065744999</v>
      </c>
      <c r="N10">
        <v>25.843433592330101</v>
      </c>
      <c r="O10">
        <v>-0.128894385159699</v>
      </c>
      <c r="P10">
        <v>0.42578866928577802</v>
      </c>
      <c r="Q10">
        <v>-0.31643565289106002</v>
      </c>
      <c r="R10">
        <v>0.324194281717338</v>
      </c>
      <c r="T10">
        <v>291.75</v>
      </c>
      <c r="U10">
        <v>19.374939370517801</v>
      </c>
      <c r="V10">
        <v>0.98599999999999999</v>
      </c>
      <c r="W10" s="1">
        <v>5.6648514215647204E-19</v>
      </c>
      <c r="X10">
        <v>-0.79333335161209095</v>
      </c>
      <c r="Y10">
        <v>-0.111111111938953</v>
      </c>
      <c r="Z10">
        <v>-0.96161615848541204</v>
      </c>
      <c r="AA10">
        <v>-0.593023240566253</v>
      </c>
    </row>
    <row r="11" spans="1:27">
      <c r="A11" s="2" t="s">
        <v>32</v>
      </c>
      <c r="B11">
        <v>302.60000000000002</v>
      </c>
      <c r="C11">
        <v>30.429573607146001</v>
      </c>
      <c r="D11">
        <v>0.989999999990686</v>
      </c>
      <c r="E11">
        <v>0.99999999767161896</v>
      </c>
      <c r="F11">
        <v>0.21894335746765101</v>
      </c>
      <c r="G11">
        <v>0.99913513660430897</v>
      </c>
      <c r="H11">
        <v>0.73875433206558205</v>
      </c>
      <c r="I11">
        <v>0.81511914730071999</v>
      </c>
      <c r="K11">
        <v>297.78899097961897</v>
      </c>
      <c r="L11">
        <v>0.98747254465246304</v>
      </c>
      <c r="M11">
        <v>0.36916431970049302</v>
      </c>
      <c r="N11">
        <v>25.471550291415799</v>
      </c>
      <c r="O11">
        <v>-0.158209278240797</v>
      </c>
      <c r="P11">
        <v>0.50390932530688204</v>
      </c>
      <c r="Q11">
        <v>-0.33982699643914099</v>
      </c>
      <c r="R11">
        <v>0.378921618956225</v>
      </c>
      <c r="T11">
        <v>294.3</v>
      </c>
      <c r="U11">
        <v>21.966198294061499</v>
      </c>
      <c r="V11">
        <v>0.98599999999999999</v>
      </c>
      <c r="W11" s="1">
        <v>1.3455410029057E-16</v>
      </c>
      <c r="X11">
        <v>-0.58403682708740201</v>
      </c>
      <c r="Y11">
        <v>-0.26283523440361001</v>
      </c>
      <c r="Z11">
        <v>-0.98610419034957797</v>
      </c>
      <c r="AA11">
        <v>-0.18739928305149001</v>
      </c>
    </row>
    <row r="12" spans="1:27">
      <c r="A12" s="2" t="s">
        <v>33</v>
      </c>
      <c r="B12">
        <v>309.60000000000002</v>
      </c>
      <c r="C12">
        <v>37.498748067876903</v>
      </c>
      <c r="D12">
        <v>0.990000000088055</v>
      </c>
      <c r="E12">
        <v>1.0000000220138101</v>
      </c>
      <c r="F12">
        <v>0.28809219598770103</v>
      </c>
      <c r="G12">
        <v>0.851507127285003</v>
      </c>
      <c r="H12">
        <v>0.55976575613021795</v>
      </c>
      <c r="I12">
        <v>0.76507359743118197</v>
      </c>
      <c r="K12">
        <v>304.02537024693498</v>
      </c>
      <c r="L12">
        <v>0.98725880224039597</v>
      </c>
      <c r="M12">
        <v>0.31639953452719299</v>
      </c>
      <c r="N12">
        <v>31.905719627754301</v>
      </c>
      <c r="O12">
        <v>-7.6183458877711302E-2</v>
      </c>
      <c r="P12">
        <v>0.37893384639704503</v>
      </c>
      <c r="Q12">
        <v>-0.35547136031089399</v>
      </c>
      <c r="R12">
        <v>0.238287907106706</v>
      </c>
      <c r="T12">
        <v>299.3</v>
      </c>
      <c r="U12">
        <v>27.1400856355733</v>
      </c>
      <c r="V12">
        <v>0.98599999999999999</v>
      </c>
      <c r="W12" s="1">
        <v>2.1987617712460301E-17</v>
      </c>
      <c r="X12">
        <v>-0.64802801609039296</v>
      </c>
      <c r="Y12">
        <v>-0.220079019665718</v>
      </c>
      <c r="Z12">
        <v>-0.58666092157363803</v>
      </c>
      <c r="AA12">
        <v>-0.269414722919464</v>
      </c>
    </row>
    <row r="13" spans="1:27">
      <c r="A13" s="2" t="s">
        <v>34</v>
      </c>
      <c r="B13">
        <v>305.45</v>
      </c>
      <c r="C13">
        <v>33.289279550487997</v>
      </c>
      <c r="D13">
        <v>0.99000000001991195</v>
      </c>
      <c r="E13">
        <v>1.00000000497798</v>
      </c>
      <c r="F13">
        <v>0.37228018045425398</v>
      </c>
      <c r="G13">
        <v>0.88893002271652199</v>
      </c>
      <c r="H13">
        <v>0.81293898820876997</v>
      </c>
      <c r="I13">
        <v>0.93460488319396895</v>
      </c>
      <c r="K13">
        <v>300.200000000015</v>
      </c>
      <c r="L13">
        <v>0.98722820103921305</v>
      </c>
      <c r="M13">
        <v>0.30856060362399401</v>
      </c>
      <c r="N13">
        <v>27.9074270744279</v>
      </c>
      <c r="O13">
        <v>-2.73042146323699E-2</v>
      </c>
      <c r="P13">
        <v>0.31635581717730998</v>
      </c>
      <c r="Q13">
        <v>-0.35541540790744802</v>
      </c>
      <c r="R13">
        <v>0.16014812251933899</v>
      </c>
      <c r="T13">
        <v>294.3</v>
      </c>
      <c r="U13">
        <v>22.128493319558899</v>
      </c>
      <c r="V13">
        <v>0.98599999999999999</v>
      </c>
      <c r="W13" s="1">
        <v>6.4505613801521295E-17</v>
      </c>
      <c r="X13">
        <v>-0.80673182010650601</v>
      </c>
      <c r="Y13">
        <v>-0.396653532981872</v>
      </c>
      <c r="Z13">
        <v>-0.61918890476226796</v>
      </c>
      <c r="AA13">
        <v>-0.383489459753036</v>
      </c>
    </row>
    <row r="14" spans="1:27">
      <c r="A14" s="2" t="s">
        <v>35</v>
      </c>
      <c r="B14">
        <v>304.64999999999998</v>
      </c>
      <c r="C14">
        <v>32.511739768811601</v>
      </c>
      <c r="D14">
        <v>0.99000000012842004</v>
      </c>
      <c r="E14">
        <v>1.0000000321051301</v>
      </c>
      <c r="F14">
        <v>0.39858728647232</v>
      </c>
      <c r="G14">
        <v>0.86621338129043501</v>
      </c>
      <c r="H14">
        <v>0.894578337669372</v>
      </c>
      <c r="I14">
        <v>0.79151487350463801</v>
      </c>
      <c r="K14">
        <v>299.39999999995001</v>
      </c>
      <c r="L14">
        <v>0.98713664315598504</v>
      </c>
      <c r="M14">
        <v>0.28514991190699401</v>
      </c>
      <c r="N14">
        <v>27.1583918692148</v>
      </c>
      <c r="O14">
        <v>-2.72588670557295E-2</v>
      </c>
      <c r="P14">
        <v>0.30862273483501002</v>
      </c>
      <c r="Q14">
        <v>-0.34767397309210302</v>
      </c>
      <c r="R14">
        <v>0.15232665319442701</v>
      </c>
      <c r="T14">
        <v>294.89999999999998</v>
      </c>
      <c r="U14">
        <v>22.726634644392199</v>
      </c>
      <c r="V14">
        <v>0.98599999999999999</v>
      </c>
      <c r="W14" s="1">
        <v>8.6306750463662904E-17</v>
      </c>
      <c r="X14">
        <v>-0.81132078170776301</v>
      </c>
      <c r="Y14">
        <v>-0.33619457483291598</v>
      </c>
      <c r="Z14">
        <v>-0.59886604547500599</v>
      </c>
      <c r="AA14">
        <v>-0.35617977380752502</v>
      </c>
    </row>
    <row r="16" spans="1:27">
      <c r="A16" s="2">
        <v>2020</v>
      </c>
      <c r="B16" s="2">
        <v>307.39999999999998</v>
      </c>
      <c r="C16" s="2">
        <v>35.282178197823001</v>
      </c>
      <c r="D16" s="2">
        <v>0.990000000046525</v>
      </c>
      <c r="E16" s="2">
        <v>1.0000000116312699</v>
      </c>
      <c r="F16" s="2">
        <v>0.355733782052993</v>
      </c>
      <c r="G16" s="2">
        <v>0.80814290046691895</v>
      </c>
      <c r="H16" s="2">
        <v>0.54014199972152699</v>
      </c>
      <c r="I16" s="2">
        <v>0.72121649980545</v>
      </c>
      <c r="K16" s="2">
        <v>302.10000000004402</v>
      </c>
      <c r="L16" s="2">
        <v>0.98719781995786204</v>
      </c>
      <c r="M16" s="2">
        <v>0.30075516907808397</v>
      </c>
      <c r="N16" s="2">
        <v>29.910604475922</v>
      </c>
      <c r="O16" s="2">
        <v>-4.0992022494926103E-2</v>
      </c>
      <c r="P16" s="2">
        <v>0.31639709493085499</v>
      </c>
      <c r="Q16" s="2">
        <v>-0.33985066692360599</v>
      </c>
      <c r="R16" s="2">
        <v>0.17572119648477699</v>
      </c>
      <c r="T16" s="2">
        <v>296.39999999999998</v>
      </c>
      <c r="U16" s="2">
        <v>24.211372205518501</v>
      </c>
      <c r="V16" s="2">
        <v>0.98599999999999999</v>
      </c>
      <c r="W16" s="3">
        <v>3.23517894129752E-17</v>
      </c>
      <c r="X16" s="2">
        <v>-0.48639681935310303</v>
      </c>
      <c r="Y16" s="2">
        <v>-0.29034942388534501</v>
      </c>
      <c r="Z16" s="2">
        <v>-0.56435406208038297</v>
      </c>
      <c r="AA16" s="2">
        <v>-0.320840954780578</v>
      </c>
    </row>
    <row r="20" spans="1:27">
      <c r="A20" s="2" t="s">
        <v>36</v>
      </c>
    </row>
    <row r="22" spans="1:27">
      <c r="A22" s="2" t="s">
        <v>37</v>
      </c>
      <c r="B22">
        <v>304.3</v>
      </c>
      <c r="C22">
        <v>32.109873814909797</v>
      </c>
      <c r="D22">
        <v>0.98999999982712505</v>
      </c>
      <c r="E22">
        <v>0.999999956781359</v>
      </c>
      <c r="F22">
        <v>0.43763920664787198</v>
      </c>
      <c r="G22">
        <v>0.85356628894805897</v>
      </c>
      <c r="H22">
        <v>0.69100528955459595</v>
      </c>
      <c r="I22">
        <v>0.74556487798690796</v>
      </c>
      <c r="K22">
        <v>297.796854939821</v>
      </c>
      <c r="L22">
        <v>0.98710605738724899</v>
      </c>
      <c r="M22">
        <v>0.27536120994996299</v>
      </c>
      <c r="N22">
        <v>25.594780089322299</v>
      </c>
      <c r="O22">
        <v>-1.16795989597349E-2</v>
      </c>
      <c r="P22">
        <v>0.26945634848628902</v>
      </c>
      <c r="Q22">
        <v>-0.33203056670000802</v>
      </c>
      <c r="R22">
        <v>0.12110101821275999</v>
      </c>
      <c r="T22">
        <v>293.2</v>
      </c>
      <c r="U22">
        <v>20.7521171753008</v>
      </c>
      <c r="V22">
        <v>0.98599999999999999</v>
      </c>
      <c r="W22" s="1">
        <v>7.8977944272125898E-17</v>
      </c>
      <c r="X22">
        <v>-0.63683933019637995</v>
      </c>
      <c r="Y22">
        <v>-0.37595257163047702</v>
      </c>
      <c r="Z22">
        <v>-0.65831726789474398</v>
      </c>
      <c r="AA22">
        <v>-0.39193257689476002</v>
      </c>
    </row>
    <row r="23" spans="1:27">
      <c r="A23" s="2" t="s">
        <v>38</v>
      </c>
      <c r="B23">
        <v>317.8</v>
      </c>
      <c r="C23">
        <v>45.739113549203402</v>
      </c>
      <c r="D23">
        <v>0.990000000179589</v>
      </c>
      <c r="E23">
        <v>1.00000004489746</v>
      </c>
      <c r="F23">
        <v>0.32371035218238797</v>
      </c>
      <c r="G23">
        <v>0.80754584074020297</v>
      </c>
      <c r="H23">
        <v>0.44130042195320102</v>
      </c>
      <c r="I23">
        <v>0.71550589799880904</v>
      </c>
      <c r="K23">
        <v>311.54915825472699</v>
      </c>
      <c r="L23">
        <v>0.98686208459302305</v>
      </c>
      <c r="M23">
        <v>0.21482619895635699</v>
      </c>
      <c r="N23">
        <v>39.435128882872597</v>
      </c>
      <c r="O23">
        <v>-1.36699217364667E-2</v>
      </c>
      <c r="P23">
        <v>0.26171647842398599</v>
      </c>
      <c r="Q23">
        <v>-0.33202998643505499</v>
      </c>
      <c r="R23">
        <v>0.12304671140062801</v>
      </c>
      <c r="T23">
        <v>301.39999999999998</v>
      </c>
      <c r="U23">
        <v>29.260098794483699</v>
      </c>
      <c r="V23">
        <v>0.98599999999999999</v>
      </c>
      <c r="W23" s="1">
        <v>3.17535474089656E-17</v>
      </c>
      <c r="X23">
        <v>-0.487325549125671</v>
      </c>
      <c r="Y23">
        <v>-0.211684376001358</v>
      </c>
      <c r="Z23">
        <v>-0.576662898063659</v>
      </c>
      <c r="AA23">
        <v>-0.26315790414810097</v>
      </c>
    </row>
    <row r="24" spans="1:27">
      <c r="A24" s="2" t="s">
        <v>39</v>
      </c>
      <c r="B24">
        <v>303.89999999999998</v>
      </c>
      <c r="C24">
        <v>31.731956785326901</v>
      </c>
      <c r="D24">
        <v>0.99000000007082101</v>
      </c>
      <c r="E24">
        <v>1.0000000177053201</v>
      </c>
      <c r="F24">
        <v>0.19409151375293701</v>
      </c>
      <c r="G24">
        <v>0.90339344739913896</v>
      </c>
      <c r="H24">
        <v>0.64826178550720204</v>
      </c>
      <c r="I24">
        <v>0.79409450292587203</v>
      </c>
      <c r="K24">
        <v>298.51367969544799</v>
      </c>
      <c r="L24">
        <v>0.98738097907522404</v>
      </c>
      <c r="M24">
        <v>0.33989595850632198</v>
      </c>
      <c r="N24">
        <v>26.283996672195901</v>
      </c>
      <c r="O24">
        <v>-0.12307379491408001</v>
      </c>
      <c r="P24">
        <v>0.42577349097177503</v>
      </c>
      <c r="Q24">
        <v>-0.33204715280079899</v>
      </c>
      <c r="R24">
        <v>0.31836123716085102</v>
      </c>
      <c r="T24">
        <v>293.8</v>
      </c>
      <c r="U24">
        <v>21.5860103153904</v>
      </c>
      <c r="V24">
        <v>0.98599999999999999</v>
      </c>
      <c r="W24" s="1">
        <v>1.40945500026793E-17</v>
      </c>
      <c r="X24">
        <v>-0.64638346433639504</v>
      </c>
      <c r="Y24">
        <v>-0.25547444820403997</v>
      </c>
      <c r="Z24">
        <v>-0.63546258211135798</v>
      </c>
      <c r="AA24">
        <v>-0.16035299003124201</v>
      </c>
    </row>
    <row r="25" spans="1:27">
      <c r="A25" s="2" t="s">
        <v>40</v>
      </c>
      <c r="B25">
        <v>307</v>
      </c>
      <c r="C25">
        <v>34.834665647497403</v>
      </c>
      <c r="D25">
        <v>0.99000000000936095</v>
      </c>
      <c r="E25">
        <v>1.0000000023403399</v>
      </c>
      <c r="F25">
        <v>0.33894112706184298</v>
      </c>
      <c r="G25">
        <v>0.84387397766113204</v>
      </c>
      <c r="H25">
        <v>0.68014937639236395</v>
      </c>
      <c r="I25">
        <v>0.76358246803283603</v>
      </c>
      <c r="K25">
        <v>301.89999999993501</v>
      </c>
      <c r="L25">
        <v>0.98725889520246402</v>
      </c>
      <c r="M25">
        <v>0.31639609833840898</v>
      </c>
      <c r="N25">
        <v>29.6500460127981</v>
      </c>
      <c r="O25">
        <v>-4.8826384547335802E-2</v>
      </c>
      <c r="P25">
        <v>0.347662857982169</v>
      </c>
      <c r="Q25">
        <v>-0.34762000455554798</v>
      </c>
      <c r="R25">
        <v>0.19139958381783601</v>
      </c>
      <c r="T25">
        <v>296.8</v>
      </c>
      <c r="U25">
        <v>24.635059322024599</v>
      </c>
      <c r="V25">
        <v>0.98599999999999999</v>
      </c>
      <c r="W25" s="1">
        <v>1.9927604137924802E-18</v>
      </c>
      <c r="X25">
        <v>-0.58799344301223699</v>
      </c>
      <c r="Y25">
        <v>-0.29729729890823298</v>
      </c>
      <c r="Z25">
        <v>-0.57847023010253895</v>
      </c>
      <c r="AA25">
        <v>-0.30777201056480402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4"/>
  <sheetViews>
    <sheetView topLeftCell="B1" workbookViewId="0">
      <pane ySplit="1" topLeftCell="A2" activePane="bottomLeft" state="frozen"/>
      <selection pane="bottomLeft" activeCell="P2" sqref="P2"/>
    </sheetView>
  </sheetViews>
  <sheetFormatPr defaultRowHeight="14.45"/>
  <cols>
    <col min="1" max="1" width="14.140625" bestFit="1" customWidth="1"/>
    <col min="2" max="2" width="11.7109375" customWidth="1"/>
    <col min="3" max="3" width="7.85546875" customWidth="1"/>
    <col min="4" max="4" width="11.7109375" customWidth="1"/>
    <col min="5" max="5" width="8.5703125" customWidth="1"/>
    <col min="6" max="6" width="11.7109375" customWidth="1"/>
    <col min="7" max="7" width="11" customWidth="1"/>
    <col min="8" max="9" width="11.7109375" customWidth="1"/>
    <col min="10" max="10" width="11" customWidth="1"/>
    <col min="11" max="11" width="8.140625" customWidth="1"/>
    <col min="12" max="13" width="11.7109375" customWidth="1"/>
    <col min="14" max="14" width="11" customWidth="1"/>
    <col min="15" max="18" width="11.7109375" customWidth="1"/>
    <col min="19" max="19" width="7.5703125" customWidth="1"/>
    <col min="20" max="20" width="11.7109375" customWidth="1"/>
    <col min="21" max="22" width="8.28515625" customWidth="1"/>
    <col min="23" max="25" width="11.7109375" customWidth="1"/>
    <col min="26" max="26" width="10.7109375" customWidth="1"/>
    <col min="27" max="27" width="12.7109375" bestFit="1" customWidth="1"/>
    <col min="28" max="28" width="4.85546875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</row>
    <row r="2" spans="1:27">
      <c r="A2" s="2" t="s">
        <v>24</v>
      </c>
      <c r="B2">
        <v>304.2</v>
      </c>
      <c r="C2">
        <v>32.0352501478989</v>
      </c>
      <c r="D2">
        <v>0.98999999997439903</v>
      </c>
      <c r="E2">
        <v>0.99999999359985503</v>
      </c>
      <c r="F2">
        <v>0.25282725691795299</v>
      </c>
      <c r="G2">
        <v>0.828688263893127</v>
      </c>
      <c r="H2">
        <v>0.75817924737930298</v>
      </c>
      <c r="I2">
        <v>0.724578857421875</v>
      </c>
      <c r="K2">
        <v>297.02049260671401</v>
      </c>
      <c r="L2">
        <v>0.98695336855096505</v>
      </c>
      <c r="M2">
        <v>0.236299940331126</v>
      </c>
      <c r="N2">
        <v>24.844077982293999</v>
      </c>
      <c r="O2">
        <v>1.3666760789067299E-2</v>
      </c>
      <c r="P2">
        <v>0.199177628530842</v>
      </c>
      <c r="Q2">
        <v>-0.285163328175077</v>
      </c>
      <c r="R2">
        <v>7.6167467308775105E-2</v>
      </c>
      <c r="T2">
        <v>292.10000000000002</v>
      </c>
      <c r="U2">
        <v>19.913833698982799</v>
      </c>
      <c r="V2">
        <v>0.98599999999999999</v>
      </c>
      <c r="W2" s="1">
        <v>9.2208424697370004E-17</v>
      </c>
      <c r="X2">
        <v>-0.636752128601074</v>
      </c>
      <c r="Y2">
        <v>-0.39393940567970198</v>
      </c>
      <c r="Z2">
        <v>-0.77218389511108398</v>
      </c>
      <c r="AA2">
        <v>-0.25689312815666199</v>
      </c>
    </row>
    <row r="3" spans="1:27">
      <c r="A3" s="2" t="s">
        <v>25</v>
      </c>
      <c r="B3">
        <v>307.60000000000002</v>
      </c>
      <c r="C3">
        <v>35.442366278105197</v>
      </c>
      <c r="D3">
        <v>0.98999999980104203</v>
      </c>
      <c r="E3">
        <v>0.99999995026060395</v>
      </c>
      <c r="F3">
        <v>0.27880880236625599</v>
      </c>
      <c r="G3">
        <v>0.81828618049621504</v>
      </c>
      <c r="H3">
        <v>0.757196485996246</v>
      </c>
      <c r="I3">
        <v>0.73343372344970703</v>
      </c>
      <c r="K3">
        <v>301.503471663553</v>
      </c>
      <c r="L3">
        <v>0.98683147871245602</v>
      </c>
      <c r="M3">
        <v>0.208959335299918</v>
      </c>
      <c r="N3">
        <v>29.333304321365301</v>
      </c>
      <c r="O3">
        <v>2.74116462146556E-2</v>
      </c>
      <c r="P3">
        <v>0.18353578793807199</v>
      </c>
      <c r="Q3">
        <v>-0.29294452903190699</v>
      </c>
      <c r="R3">
        <v>4.2946310570367699E-2</v>
      </c>
      <c r="T3">
        <v>293.39999999999998</v>
      </c>
      <c r="U3">
        <v>21.179043056692102</v>
      </c>
      <c r="V3">
        <v>0.98599999999999999</v>
      </c>
      <c r="W3" s="1">
        <v>6.57107708065896E-18</v>
      </c>
      <c r="X3">
        <v>-0.72521245479583696</v>
      </c>
      <c r="Y3">
        <v>-0.34796237945556602</v>
      </c>
      <c r="Z3">
        <v>-0.74403542280197099</v>
      </c>
      <c r="AA3">
        <v>-0.31279423832893299</v>
      </c>
    </row>
    <row r="4" spans="1:27">
      <c r="A4" s="2" t="s">
        <v>26</v>
      </c>
      <c r="B4">
        <v>313.7</v>
      </c>
      <c r="C4">
        <v>41.6145670404741</v>
      </c>
      <c r="D4">
        <v>0.99000000005044198</v>
      </c>
      <c r="E4">
        <v>1.0000000126106601</v>
      </c>
      <c r="F4">
        <v>0.25390234589576699</v>
      </c>
      <c r="G4">
        <v>0.82672691345214799</v>
      </c>
      <c r="H4">
        <v>0.55295175313949496</v>
      </c>
      <c r="I4">
        <v>0.75084441900253296</v>
      </c>
      <c r="K4">
        <v>306.04989737357403</v>
      </c>
      <c r="L4">
        <v>0.986770552110806</v>
      </c>
      <c r="M4">
        <v>0.19136695843422699</v>
      </c>
      <c r="N4">
        <v>33.9440134314546</v>
      </c>
      <c r="O4">
        <v>2.5404310286630601E-2</v>
      </c>
      <c r="P4">
        <v>0.19140752459417601</v>
      </c>
      <c r="Q4">
        <v>-0.292902924636745</v>
      </c>
      <c r="R4">
        <v>5.0691081233557901E-2</v>
      </c>
      <c r="T4">
        <v>296.10000000000002</v>
      </c>
      <c r="U4">
        <v>23.885312538286399</v>
      </c>
      <c r="V4">
        <v>0.98599999999999999</v>
      </c>
      <c r="W4" s="1">
        <v>3.4288780569572102E-17</v>
      </c>
      <c r="X4">
        <v>-0.53440213203430098</v>
      </c>
      <c r="Y4">
        <v>-0.30593070387840199</v>
      </c>
      <c r="Z4">
        <v>-0.67881506681442205</v>
      </c>
      <c r="AA4">
        <v>-0.32247701287269498</v>
      </c>
    </row>
    <row r="5" spans="1:27">
      <c r="A5" s="2" t="s">
        <v>27</v>
      </c>
      <c r="B5">
        <v>321.35000000000002</v>
      </c>
      <c r="C5">
        <v>49.322612511614402</v>
      </c>
      <c r="D5">
        <v>0.99000000001331701</v>
      </c>
      <c r="E5">
        <v>1.0000000033293599</v>
      </c>
      <c r="F5">
        <v>0.21781183779239599</v>
      </c>
      <c r="G5">
        <v>0.85649222135543801</v>
      </c>
      <c r="H5">
        <v>0.42558526992797802</v>
      </c>
      <c r="I5">
        <v>0.76774942874908403</v>
      </c>
      <c r="K5">
        <v>313.550231866888</v>
      </c>
      <c r="L5">
        <v>0.98655679641423599</v>
      </c>
      <c r="M5">
        <v>0.13665717697157301</v>
      </c>
      <c r="N5">
        <v>41.436021753585898</v>
      </c>
      <c r="O5">
        <v>1.36946473057682E-2</v>
      </c>
      <c r="P5">
        <v>0.19922981132145001</v>
      </c>
      <c r="Q5">
        <v>-0.292915318934658</v>
      </c>
      <c r="R5">
        <v>6.6338223630634102E-2</v>
      </c>
      <c r="T5">
        <v>302.3</v>
      </c>
      <c r="U5">
        <v>29.941244288719801</v>
      </c>
      <c r="V5">
        <v>0.98599999999999999</v>
      </c>
      <c r="W5" s="1">
        <v>2.3617643775914099E-18</v>
      </c>
      <c r="X5">
        <v>-0.53693592548370295</v>
      </c>
      <c r="Y5">
        <v>-0.180408164858818</v>
      </c>
      <c r="Z5">
        <v>-0.75036787986755304</v>
      </c>
      <c r="AA5">
        <v>-0.32090041041374201</v>
      </c>
    </row>
    <row r="6" spans="1:27">
      <c r="A6" s="2" t="s">
        <v>28</v>
      </c>
      <c r="B6">
        <v>320.60000000000002</v>
      </c>
      <c r="C6">
        <v>48.590227497169998</v>
      </c>
      <c r="D6">
        <v>0.99000000009848999</v>
      </c>
      <c r="E6">
        <v>1.0000000246226699</v>
      </c>
      <c r="F6">
        <v>0.26970237493514998</v>
      </c>
      <c r="G6">
        <v>0.78982681035995395</v>
      </c>
      <c r="H6">
        <v>0.29839974641799899</v>
      </c>
      <c r="I6">
        <v>0.71250110864639205</v>
      </c>
      <c r="K6">
        <v>313.29973603995398</v>
      </c>
      <c r="L6">
        <v>0.98625154964762296</v>
      </c>
      <c r="M6">
        <v>6.6343591055191498E-2</v>
      </c>
      <c r="N6">
        <v>41.312808846758699</v>
      </c>
      <c r="O6">
        <v>9.7852738631237692E-3</v>
      </c>
      <c r="P6">
        <v>0.19332830672408199</v>
      </c>
      <c r="Q6">
        <v>-0.28708908015786</v>
      </c>
      <c r="R6">
        <v>7.4148151517141395E-2</v>
      </c>
      <c r="T6">
        <v>303.10000000000002</v>
      </c>
      <c r="U6">
        <v>30.987278529546401</v>
      </c>
      <c r="V6">
        <v>0.98599999999999999</v>
      </c>
      <c r="W6" s="1">
        <v>2.7129891708392902E-20</v>
      </c>
      <c r="X6">
        <v>-0.53359299898147505</v>
      </c>
      <c r="Y6">
        <v>-9.54488851130008E-3</v>
      </c>
      <c r="Z6">
        <v>-0.688346087932586</v>
      </c>
      <c r="AA6">
        <v>-0.44674777984619102</v>
      </c>
    </row>
    <row r="7" spans="1:27">
      <c r="A7" s="2" t="s">
        <v>29</v>
      </c>
      <c r="B7">
        <v>308</v>
      </c>
      <c r="C7">
        <v>35.905650785152801</v>
      </c>
      <c r="D7">
        <v>0.99000000009119604</v>
      </c>
      <c r="E7">
        <v>1.0000000227991599</v>
      </c>
      <c r="F7">
        <v>0.45129913091659501</v>
      </c>
      <c r="G7">
        <v>0.81386440992355302</v>
      </c>
      <c r="H7">
        <v>0.21457858383655501</v>
      </c>
      <c r="I7">
        <v>0.72137683629989602</v>
      </c>
      <c r="K7">
        <v>301.29998320866798</v>
      </c>
      <c r="L7">
        <v>0.98637360896895898</v>
      </c>
      <c r="M7">
        <v>9.76139359348282E-2</v>
      </c>
      <c r="N7">
        <v>29.176971669048001</v>
      </c>
      <c r="O7">
        <v>-5.8395858818888098E-3</v>
      </c>
      <c r="P7">
        <v>0.21680732140710901</v>
      </c>
      <c r="Q7">
        <v>-0.27732893244435097</v>
      </c>
      <c r="R7">
        <v>0.12106409244787</v>
      </c>
      <c r="T7">
        <v>291.60000000000002</v>
      </c>
      <c r="U7">
        <v>19.404314265469502</v>
      </c>
      <c r="V7">
        <v>0.98599999999999999</v>
      </c>
      <c r="W7" s="1">
        <v>2.1386667029844598E-18</v>
      </c>
      <c r="X7">
        <v>-0.47607797384262002</v>
      </c>
      <c r="Y7">
        <v>-4.9236577004194197E-2</v>
      </c>
      <c r="Z7">
        <v>-0.81491714715957597</v>
      </c>
      <c r="AA7">
        <v>-0.56951838731765703</v>
      </c>
    </row>
    <row r="8" spans="1:27">
      <c r="A8" s="2" t="s">
        <v>30</v>
      </c>
      <c r="B8">
        <v>304</v>
      </c>
      <c r="C8">
        <v>31.857182720748899</v>
      </c>
      <c r="D8">
        <v>0.99</v>
      </c>
      <c r="E8">
        <v>1</v>
      </c>
      <c r="F8">
        <v>0.24979268014431</v>
      </c>
      <c r="G8">
        <v>1</v>
      </c>
      <c r="H8">
        <v>0.73240834474563599</v>
      </c>
      <c r="I8">
        <v>0.87397706508636397</v>
      </c>
      <c r="K8">
        <v>298.34999999998598</v>
      </c>
      <c r="L8">
        <v>0.98664829835630896</v>
      </c>
      <c r="M8">
        <v>0.16013742517703999</v>
      </c>
      <c r="N8">
        <v>26.153715475961601</v>
      </c>
      <c r="O8">
        <v>-8.1987372278320994E-2</v>
      </c>
      <c r="P8">
        <v>0.33981834920965598</v>
      </c>
      <c r="Q8">
        <v>-0.27734015218402303</v>
      </c>
      <c r="R8">
        <v>0.246056569054979</v>
      </c>
      <c r="T8">
        <v>291.95</v>
      </c>
      <c r="U8">
        <v>19.612343218229501</v>
      </c>
      <c r="V8">
        <v>0.98599999999999999</v>
      </c>
      <c r="W8" s="1">
        <v>5.5511151975720299E-19</v>
      </c>
      <c r="X8">
        <v>-0.76448059082031194</v>
      </c>
      <c r="Y8">
        <v>-0.111111111938953</v>
      </c>
      <c r="Z8">
        <v>-0.94119894504547097</v>
      </c>
      <c r="AA8">
        <v>-0.47669935226440402</v>
      </c>
    </row>
    <row r="9" spans="1:27">
      <c r="A9" s="2" t="s">
        <v>31</v>
      </c>
      <c r="B9">
        <v>304.10000000000002</v>
      </c>
      <c r="C9">
        <v>31.938058496851401</v>
      </c>
      <c r="D9">
        <v>0.98999999991578902</v>
      </c>
      <c r="E9">
        <v>0.99999997894743098</v>
      </c>
      <c r="F9">
        <v>0.55151516199111905</v>
      </c>
      <c r="G9">
        <v>0.99254196882247903</v>
      </c>
      <c r="H9">
        <v>0.69408369064330999</v>
      </c>
      <c r="I9">
        <v>0.82339179515838601</v>
      </c>
      <c r="K9">
        <v>299.80000000002502</v>
      </c>
      <c r="L9">
        <v>0.98731954684914203</v>
      </c>
      <c r="M9">
        <v>0.33007072910721802</v>
      </c>
      <c r="N9">
        <v>27.525882735286402</v>
      </c>
      <c r="O9">
        <v>-6.6350569495647105E-2</v>
      </c>
      <c r="P9">
        <v>0.29292785025443002</v>
      </c>
      <c r="Q9">
        <v>-0.277315392817852</v>
      </c>
      <c r="R9">
        <v>0.214732121457162</v>
      </c>
      <c r="T9">
        <v>295.8</v>
      </c>
      <c r="U9">
        <v>23.399213611872501</v>
      </c>
      <c r="V9">
        <v>0.98599999999999999</v>
      </c>
      <c r="W9" s="1">
        <v>1.8729957407328301E-18</v>
      </c>
      <c r="X9">
        <v>-0.75267004966735795</v>
      </c>
      <c r="Y9">
        <v>-0.65094339847564697</v>
      </c>
      <c r="Z9">
        <v>-0.96454197168350198</v>
      </c>
      <c r="AA9">
        <v>-0.48611110448837203</v>
      </c>
    </row>
    <row r="10" spans="1:27">
      <c r="A10" s="2" t="s">
        <v>32</v>
      </c>
      <c r="B10">
        <v>303.3</v>
      </c>
      <c r="C10">
        <v>31.167106182576099</v>
      </c>
      <c r="D10">
        <v>0.99</v>
      </c>
      <c r="E10">
        <v>1</v>
      </c>
      <c r="F10">
        <v>0.30855283141136097</v>
      </c>
      <c r="G10">
        <v>1</v>
      </c>
      <c r="H10">
        <v>0.61236423254012995</v>
      </c>
      <c r="I10">
        <v>0.81027078628539995</v>
      </c>
      <c r="K10">
        <v>298.28905251237597</v>
      </c>
      <c r="L10">
        <v>0.98698424806014495</v>
      </c>
      <c r="M10">
        <v>0.24611438897333299</v>
      </c>
      <c r="N10">
        <v>26.0992876330602</v>
      </c>
      <c r="O10">
        <v>-7.2213080384759307E-2</v>
      </c>
      <c r="P10">
        <v>0.37889285087459801</v>
      </c>
      <c r="Q10">
        <v>-0.31639537843653398</v>
      </c>
      <c r="R10">
        <v>0.23824062035507701</v>
      </c>
      <c r="T10">
        <v>294.39999999999998</v>
      </c>
      <c r="U10">
        <v>22.0712604580138</v>
      </c>
      <c r="V10">
        <v>0.98599999999999999</v>
      </c>
      <c r="W10" s="1">
        <v>3.38152399853883E-17</v>
      </c>
      <c r="X10">
        <v>-0.59617549180984497</v>
      </c>
      <c r="Y10">
        <v>-0.248097419738769</v>
      </c>
      <c r="Z10">
        <v>-0.99258083105087203</v>
      </c>
      <c r="AA10">
        <v>-0.432231485843658</v>
      </c>
    </row>
    <row r="11" spans="1:27">
      <c r="A11" s="2" t="s">
        <v>33</v>
      </c>
      <c r="B11">
        <v>311.39999999999998</v>
      </c>
      <c r="C11">
        <v>39.2917103703546</v>
      </c>
      <c r="D11">
        <v>0.99000000009315403</v>
      </c>
      <c r="E11">
        <v>1.0000000232887001</v>
      </c>
      <c r="F11">
        <v>0.31512278318405101</v>
      </c>
      <c r="G11">
        <v>0.851507127285003</v>
      </c>
      <c r="H11">
        <v>0.54732143878936701</v>
      </c>
      <c r="I11">
        <v>0.76507359743118197</v>
      </c>
      <c r="K11">
        <v>304.94999999997901</v>
      </c>
      <c r="L11">
        <v>0.98673998687139997</v>
      </c>
      <c r="M11">
        <v>0.18346430249929699</v>
      </c>
      <c r="N11">
        <v>32.778728904437997</v>
      </c>
      <c r="O11">
        <v>-2.1452101611897399E-2</v>
      </c>
      <c r="P11">
        <v>0.269414915472653</v>
      </c>
      <c r="Q11">
        <v>-0.30859919363369598</v>
      </c>
      <c r="R11">
        <v>0.13667293183568899</v>
      </c>
      <c r="T11">
        <v>299.3</v>
      </c>
      <c r="U11">
        <v>27.146449976292899</v>
      </c>
      <c r="V11">
        <v>0.98599999999999999</v>
      </c>
      <c r="W11" s="1">
        <v>5.9172138248749302E-18</v>
      </c>
      <c r="X11">
        <v>-0.54772579669952304</v>
      </c>
      <c r="Y11">
        <v>-0.16141732037067399</v>
      </c>
      <c r="Z11">
        <v>-0.69143295288085904</v>
      </c>
      <c r="AA11">
        <v>-0.305062025785446</v>
      </c>
    </row>
    <row r="12" spans="1:27">
      <c r="A12" s="2" t="s">
        <v>34</v>
      </c>
      <c r="B12">
        <v>307.45</v>
      </c>
      <c r="C12">
        <v>35.305580175179401</v>
      </c>
      <c r="D12">
        <v>0.98999999982633102</v>
      </c>
      <c r="E12">
        <v>0.99999995658291096</v>
      </c>
      <c r="F12">
        <v>0.385528534650802</v>
      </c>
      <c r="G12">
        <v>0.85423368215560902</v>
      </c>
      <c r="H12">
        <v>0.94774347543716397</v>
      </c>
      <c r="I12">
        <v>0.80570220947265603</v>
      </c>
      <c r="K12">
        <v>300.69999999996901</v>
      </c>
      <c r="L12">
        <v>0.98701453534209205</v>
      </c>
      <c r="M12">
        <v>0.25191838442276299</v>
      </c>
      <c r="N12">
        <v>28.524484494063099</v>
      </c>
      <c r="O12">
        <v>1.1772901931174799E-2</v>
      </c>
      <c r="P12">
        <v>0.23044815944122399</v>
      </c>
      <c r="Q12">
        <v>-0.30856423147738998</v>
      </c>
      <c r="R12">
        <v>8.2005032955545107E-2</v>
      </c>
      <c r="T12">
        <v>294.10000000000002</v>
      </c>
      <c r="U12">
        <v>21.926943821509798</v>
      </c>
      <c r="V12">
        <v>0.98599999999999999</v>
      </c>
      <c r="W12" s="1">
        <v>3.1806464332799597E-17</v>
      </c>
      <c r="X12">
        <v>-0.95491802692413297</v>
      </c>
      <c r="Y12">
        <v>-0.40236219763755798</v>
      </c>
      <c r="Z12">
        <v>-0.69762510061264005</v>
      </c>
      <c r="AA12">
        <v>-0.64937371015548695</v>
      </c>
    </row>
    <row r="13" spans="1:27">
      <c r="A13" s="2" t="s">
        <v>35</v>
      </c>
      <c r="B13">
        <v>307.10000000000002</v>
      </c>
      <c r="C13">
        <v>34.959145526307402</v>
      </c>
      <c r="D13">
        <v>0.99000000003743505</v>
      </c>
      <c r="E13">
        <v>1.00000000935876</v>
      </c>
      <c r="F13">
        <v>0.33673155307769698</v>
      </c>
      <c r="G13">
        <v>0.85349518060684204</v>
      </c>
      <c r="H13">
        <v>0.91656130552291804</v>
      </c>
      <c r="I13">
        <v>0.79931974411010698</v>
      </c>
      <c r="K13">
        <v>300.01507902910799</v>
      </c>
      <c r="L13">
        <v>0.98689266219218796</v>
      </c>
      <c r="M13">
        <v>0.22264575414324</v>
      </c>
      <c r="N13">
        <v>27.842746321863999</v>
      </c>
      <c r="O13">
        <v>1.1798252730555301E-2</v>
      </c>
      <c r="P13">
        <v>0.214868418725984</v>
      </c>
      <c r="Q13">
        <v>-0.30072826664058799</v>
      </c>
      <c r="R13">
        <v>7.4177305685056497E-2</v>
      </c>
      <c r="T13">
        <v>294.60000000000002</v>
      </c>
      <c r="U13">
        <v>22.421456756527899</v>
      </c>
      <c r="V13">
        <v>0.98599999999999999</v>
      </c>
      <c r="W13" s="1">
        <v>8.1059114170722205E-17</v>
      </c>
      <c r="X13">
        <v>-0.85288965702056796</v>
      </c>
      <c r="Y13">
        <v>-0.356828182935714</v>
      </c>
      <c r="Z13">
        <v>-0.65072304010391202</v>
      </c>
      <c r="AA13">
        <v>-0.34090560674667297</v>
      </c>
    </row>
    <row r="15" spans="1:27">
      <c r="A15" s="2">
        <v>2020</v>
      </c>
      <c r="B15" s="2">
        <v>308.60000000000002</v>
      </c>
      <c r="C15" s="2">
        <v>36.488065104943601</v>
      </c>
      <c r="D15" s="2">
        <v>0.98999999992265897</v>
      </c>
      <c r="E15" s="2">
        <v>0.99999998066483298</v>
      </c>
      <c r="F15" s="2">
        <v>0.22894737124442999</v>
      </c>
      <c r="G15" s="2">
        <v>0.79037600755691495</v>
      </c>
      <c r="H15" s="2">
        <v>0.51219511032104403</v>
      </c>
      <c r="I15" s="2">
        <v>0.70286887884140004</v>
      </c>
      <c r="K15" s="2">
        <v>302.60000000003498</v>
      </c>
      <c r="L15" s="2">
        <v>0.986648332909137</v>
      </c>
      <c r="M15" s="2">
        <v>0.165991852414417</v>
      </c>
      <c r="N15" s="2">
        <v>30.4614214013124</v>
      </c>
      <c r="O15" s="2">
        <v>-1.96486300923783E-3</v>
      </c>
      <c r="P15" s="2">
        <v>0.228504458180016</v>
      </c>
      <c r="Q15" s="2">
        <v>-0.30073552748069698</v>
      </c>
      <c r="R15" s="2">
        <v>9.9583033418828196E-2</v>
      </c>
      <c r="T15" s="2">
        <v>296.7</v>
      </c>
      <c r="U15" s="2">
        <v>24.5454926754715</v>
      </c>
      <c r="V15" s="2">
        <v>0.98599999999999999</v>
      </c>
      <c r="W15" s="3">
        <v>8.6721200318787697E-19</v>
      </c>
      <c r="X15" s="2">
        <v>-0.49174529314041099</v>
      </c>
      <c r="Y15" s="2">
        <v>-0.152512997388839</v>
      </c>
      <c r="Z15" s="2">
        <v>-0.68429684638976995</v>
      </c>
      <c r="AA15" s="2">
        <v>-0.23946784436702701</v>
      </c>
    </row>
    <row r="19" spans="1:27">
      <c r="A19" s="2" t="s">
        <v>36</v>
      </c>
    </row>
    <row r="21" spans="1:27">
      <c r="A21" s="2" t="s">
        <v>37</v>
      </c>
      <c r="B21">
        <v>305.5</v>
      </c>
      <c r="C21">
        <v>33.352897781257099</v>
      </c>
      <c r="D21">
        <v>0.990000000102502</v>
      </c>
      <c r="E21">
        <v>1.0000000256255701</v>
      </c>
      <c r="F21">
        <v>0.25632151961326599</v>
      </c>
      <c r="G21">
        <v>0.82282942533492998</v>
      </c>
      <c r="H21">
        <v>0.68700784444808904</v>
      </c>
      <c r="I21">
        <v>0.72108107805251997</v>
      </c>
      <c r="K21">
        <v>298.10000000003299</v>
      </c>
      <c r="L21">
        <v>0.98686177003147502</v>
      </c>
      <c r="M21">
        <v>0.21473252543448701</v>
      </c>
      <c r="N21">
        <v>25.903654580754001</v>
      </c>
      <c r="O21">
        <v>1.76108951810925E-2</v>
      </c>
      <c r="P21">
        <v>0.191441608587469</v>
      </c>
      <c r="Q21">
        <v>-0.285137769519625</v>
      </c>
      <c r="R21">
        <v>5.6616471416024002E-2</v>
      </c>
      <c r="T21">
        <v>292.2</v>
      </c>
      <c r="U21">
        <v>20.014411693444199</v>
      </c>
      <c r="V21">
        <v>0.98599999999999999</v>
      </c>
      <c r="W21">
        <v>0</v>
      </c>
      <c r="X21">
        <v>-0.61483252048492398</v>
      </c>
      <c r="Y21">
        <v>-0.34375</v>
      </c>
      <c r="Z21">
        <v>-0.72895592451095503</v>
      </c>
      <c r="AA21">
        <v>-0.265314280986785</v>
      </c>
    </row>
    <row r="22" spans="1:27">
      <c r="A22" s="2" t="s">
        <v>38</v>
      </c>
      <c r="B22">
        <v>320.39999999999998</v>
      </c>
      <c r="C22">
        <v>48.377968335132302</v>
      </c>
      <c r="D22">
        <v>0.98999999990981702</v>
      </c>
      <c r="E22">
        <v>0.99999997745437197</v>
      </c>
      <c r="F22">
        <v>0.21799010038375799</v>
      </c>
      <c r="G22">
        <v>0.83665859699249201</v>
      </c>
      <c r="H22">
        <v>0.42447128891944802</v>
      </c>
      <c r="I22">
        <v>0.74120557308196999</v>
      </c>
      <c r="K22">
        <v>312.41151187410702</v>
      </c>
      <c r="L22">
        <v>0.98637362817468899</v>
      </c>
      <c r="M22">
        <v>9.5678203445976703E-2</v>
      </c>
      <c r="N22">
        <v>40.317884253909902</v>
      </c>
      <c r="O22">
        <v>9.7970818473269404E-3</v>
      </c>
      <c r="P22">
        <v>0.20119411111549201</v>
      </c>
      <c r="Q22">
        <v>-0.29286793114726001</v>
      </c>
      <c r="R22">
        <v>7.2249036731197203E-2</v>
      </c>
      <c r="T22">
        <v>301.39999999999998</v>
      </c>
      <c r="U22">
        <v>29.2604903115799</v>
      </c>
      <c r="V22">
        <v>0.98599999999999999</v>
      </c>
      <c r="W22" s="1">
        <v>3.4510324374356101E-19</v>
      </c>
      <c r="X22">
        <v>-0.50749921798705999</v>
      </c>
      <c r="Y22">
        <v>-8.4187082946300507E-2</v>
      </c>
      <c r="Z22">
        <v>-0.71234011650085405</v>
      </c>
      <c r="AA22">
        <v>-0.24671201407909299</v>
      </c>
    </row>
    <row r="23" spans="1:27">
      <c r="A23" s="2" t="s">
        <v>39</v>
      </c>
      <c r="B23">
        <v>304</v>
      </c>
      <c r="C23">
        <v>31.835147102130701</v>
      </c>
      <c r="D23">
        <v>0.98999999979785802</v>
      </c>
      <c r="E23">
        <v>0.999999949464626</v>
      </c>
      <c r="F23">
        <v>0.285335093736648</v>
      </c>
      <c r="G23">
        <v>0.91066086292266801</v>
      </c>
      <c r="H23">
        <v>0.61236423254012995</v>
      </c>
      <c r="I23">
        <v>0.79409450292587203</v>
      </c>
      <c r="K23">
        <v>299.19999999996998</v>
      </c>
      <c r="L23">
        <v>0.98695368933651295</v>
      </c>
      <c r="M23">
        <v>0.23633182665095201</v>
      </c>
      <c r="N23">
        <v>27.026389323525301</v>
      </c>
      <c r="O23">
        <v>-6.0543244821571598E-2</v>
      </c>
      <c r="P23">
        <v>0.30856181855130499</v>
      </c>
      <c r="Q23">
        <v>-0.29297848255873299</v>
      </c>
      <c r="R23">
        <v>0.206994545819953</v>
      </c>
      <c r="T23">
        <v>293.85000000000002</v>
      </c>
      <c r="U23">
        <v>21.6588864338093</v>
      </c>
      <c r="V23">
        <v>0.98599999999999999</v>
      </c>
      <c r="W23" s="1">
        <v>1.50054196842632E-17</v>
      </c>
      <c r="X23">
        <v>-0.64638346433639504</v>
      </c>
      <c r="Y23">
        <v>-0.252779841423034</v>
      </c>
      <c r="Z23">
        <v>-0.61136078834533603</v>
      </c>
      <c r="AA23">
        <v>-0.26186770200729298</v>
      </c>
    </row>
    <row r="24" spans="1:27">
      <c r="A24" s="2" t="s">
        <v>40</v>
      </c>
      <c r="B24">
        <v>309.39999999999998</v>
      </c>
      <c r="C24">
        <v>37.275239167384299</v>
      </c>
      <c r="D24">
        <v>0.98999999990337495</v>
      </c>
      <c r="E24">
        <v>0.99999997584373002</v>
      </c>
      <c r="F24">
        <v>0.24620234966278001</v>
      </c>
      <c r="G24">
        <v>0.82779318094253496</v>
      </c>
      <c r="H24">
        <v>0.64356434345245295</v>
      </c>
      <c r="I24">
        <v>0.74024713039398105</v>
      </c>
      <c r="K24">
        <v>302.39999999994302</v>
      </c>
      <c r="L24">
        <v>0.98695357603697198</v>
      </c>
      <c r="M24">
        <v>0.24018690157648601</v>
      </c>
      <c r="N24">
        <v>30.226520903186898</v>
      </c>
      <c r="O24">
        <v>-1.9932913913485398E-3</v>
      </c>
      <c r="P24">
        <v>0.24605404355524399</v>
      </c>
      <c r="Q24">
        <v>-0.30072397551998897</v>
      </c>
      <c r="R24">
        <v>0.105443084387074</v>
      </c>
      <c r="T24">
        <v>296.8</v>
      </c>
      <c r="U24">
        <v>24.6331626256802</v>
      </c>
      <c r="V24">
        <v>0.98599999999999999</v>
      </c>
      <c r="W24" s="1">
        <v>7.2839665246113203E-17</v>
      </c>
      <c r="X24">
        <v>-0.65096360445022505</v>
      </c>
      <c r="Y24">
        <v>-0.31594201922416598</v>
      </c>
      <c r="Z24">
        <v>-0.665796339511871</v>
      </c>
      <c r="AA24">
        <v>-0.325035899877548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A28"/>
  <sheetViews>
    <sheetView topLeftCell="E1" zoomScale="130" zoomScaleNormal="130" workbookViewId="0">
      <pane ySplit="1" topLeftCell="A14" activePane="bottomLeft" state="frozen"/>
      <selection pane="bottomLeft" activeCell="O16" sqref="O16"/>
    </sheetView>
  </sheetViews>
  <sheetFormatPr defaultColWidth="9.140625" defaultRowHeight="14.45"/>
  <cols>
    <col min="1" max="1" width="13.28515625" style="8" bestFit="1" customWidth="1"/>
    <col min="2" max="2" width="9.140625" style="8"/>
    <col min="3" max="3" width="10.85546875" style="8" bestFit="1" customWidth="1"/>
    <col min="4" max="5" width="12" style="8" bestFit="1" customWidth="1"/>
    <col min="6" max="6" width="10.85546875" style="8" bestFit="1" customWidth="1"/>
    <col min="7" max="9" width="12" style="8" bestFit="1" customWidth="1"/>
    <col min="10" max="10" width="12.42578125" style="8" bestFit="1" customWidth="1"/>
    <col min="11" max="11" width="12.5703125" style="8" bestFit="1" customWidth="1"/>
    <col min="12" max="15" width="12" style="8" bestFit="1" customWidth="1"/>
    <col min="16" max="16" width="12.7109375" style="8" bestFit="1" customWidth="1"/>
    <col min="17" max="17" width="12.85546875" style="8" bestFit="1" customWidth="1"/>
    <col min="18" max="18" width="13.5703125" style="8" bestFit="1" customWidth="1"/>
    <col min="19" max="19" width="13.42578125" style="8" bestFit="1" customWidth="1"/>
    <col min="20" max="21" width="12" style="8" bestFit="1" customWidth="1"/>
    <col min="22" max="22" width="10.5703125" style="8" bestFit="1" customWidth="1"/>
    <col min="23" max="23" width="12" style="8" bestFit="1" customWidth="1"/>
    <col min="24" max="27" width="12.7109375" style="8" bestFit="1" customWidth="1"/>
    <col min="28" max="16384" width="9.140625" style="8"/>
  </cols>
  <sheetData>
    <row r="1" spans="1:27">
      <c r="A1" s="11" t="s">
        <v>41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7" t="s">
        <v>23</v>
      </c>
    </row>
    <row r="3" spans="1:27">
      <c r="A3" s="11" t="s">
        <v>24</v>
      </c>
      <c r="B3" s="8">
        <v>304.39999999999998</v>
      </c>
      <c r="C3" s="8">
        <v>32.240823511753</v>
      </c>
      <c r="D3" s="8">
        <v>0.99000000012166556</v>
      </c>
      <c r="E3" s="8">
        <v>1.0000000304165249</v>
      </c>
      <c r="F3" s="8">
        <v>0.40867647528648349</v>
      </c>
      <c r="G3" s="8">
        <v>0.857315152883529</v>
      </c>
      <c r="H3" s="8">
        <v>0.39462590217590249</v>
      </c>
      <c r="I3" s="8">
        <v>0.80793261528015048</v>
      </c>
      <c r="K3" s="8">
        <v>296.76627345459747</v>
      </c>
      <c r="L3" s="8">
        <v>0.98699938043086544</v>
      </c>
      <c r="M3" s="8">
        <v>0.24996513799940401</v>
      </c>
      <c r="N3" s="8">
        <v>24.564941680942951</v>
      </c>
      <c r="O3" s="8">
        <v>1.6073036657394913E-5</v>
      </c>
      <c r="P3" s="8">
        <v>0.238264431506298</v>
      </c>
      <c r="Q3" s="8">
        <v>-0.30076628938981098</v>
      </c>
      <c r="R3" s="8">
        <v>0.10543603752167145</v>
      </c>
      <c r="T3" s="8">
        <v>292.05</v>
      </c>
      <c r="U3" s="8">
        <v>19.860862378255749</v>
      </c>
      <c r="V3" s="8">
        <v>0.98599999999999999</v>
      </c>
      <c r="W3" s="8">
        <v>5.4319525467540898E-17</v>
      </c>
      <c r="X3" s="8">
        <v>-0.74665328860282898</v>
      </c>
      <c r="Y3" s="8">
        <v>-0.3836434781551355</v>
      </c>
      <c r="Z3" s="14">
        <v>-0.78169193863868702</v>
      </c>
      <c r="AA3" s="15">
        <v>-0.54092302918434099</v>
      </c>
    </row>
    <row r="4" spans="1:27">
      <c r="A4" s="11" t="s">
        <v>25</v>
      </c>
      <c r="B4" s="8">
        <v>307.05</v>
      </c>
      <c r="C4" s="8">
        <v>34.8943812172189</v>
      </c>
      <c r="D4" s="8">
        <v>0.98999999995529797</v>
      </c>
      <c r="E4" s="8">
        <v>0.99999998882459895</v>
      </c>
      <c r="F4" s="8">
        <v>0.44450582563877095</v>
      </c>
      <c r="G4" s="8">
        <v>0.85858052968978849</v>
      </c>
      <c r="H4" s="8">
        <v>0.50671169161796503</v>
      </c>
      <c r="I4" s="8">
        <v>0.80672711133956898</v>
      </c>
      <c r="K4" s="8">
        <v>300.34999999995102</v>
      </c>
      <c r="L4" s="8">
        <v>0.98698411634615502</v>
      </c>
      <c r="M4" s="8">
        <v>0.24704773073826902</v>
      </c>
      <c r="N4" s="8">
        <v>28.157245334088049</v>
      </c>
      <c r="O4" s="8">
        <v>1.5691470365927301E-2</v>
      </c>
      <c r="P4" s="8">
        <v>0.2148273058416835</v>
      </c>
      <c r="Q4" s="8">
        <v>-0.29687577380843599</v>
      </c>
      <c r="R4" s="8">
        <v>7.0266383175744851E-2</v>
      </c>
      <c r="T4" s="8">
        <v>293.29999999999995</v>
      </c>
      <c r="U4" s="8">
        <v>21.016299626716251</v>
      </c>
      <c r="V4" s="8">
        <v>0.98599999999999999</v>
      </c>
      <c r="W4" s="8">
        <v>5.2678756930985152E-17</v>
      </c>
      <c r="X4" s="8">
        <v>-0.80981120467185952</v>
      </c>
      <c r="Y4" s="8">
        <v>-0.42403167486190702</v>
      </c>
      <c r="Z4" s="16">
        <v>-0.80236348509788491</v>
      </c>
      <c r="AA4" s="17">
        <v>-0.4471193104982375</v>
      </c>
    </row>
    <row r="5" spans="1:27">
      <c r="A5" s="11" t="s">
        <v>26</v>
      </c>
      <c r="B5" s="8">
        <v>315.25</v>
      </c>
      <c r="C5" s="8">
        <v>43.145269705729703</v>
      </c>
      <c r="D5" s="8">
        <v>0.99000000007463695</v>
      </c>
      <c r="E5" s="8">
        <v>1.0000000186593014</v>
      </c>
      <c r="F5" s="8">
        <v>0.40360090136527949</v>
      </c>
      <c r="G5" s="8">
        <v>0.849173784255981</v>
      </c>
      <c r="H5" s="8">
        <v>0.38140666484832697</v>
      </c>
      <c r="I5" s="8">
        <v>0.73655363917350747</v>
      </c>
      <c r="K5" s="8">
        <v>306.19157808702198</v>
      </c>
      <c r="L5" s="8">
        <v>0.98698403196853657</v>
      </c>
      <c r="M5" s="8">
        <v>0.2450955632889355</v>
      </c>
      <c r="N5" s="8">
        <v>33.9994428761905</v>
      </c>
      <c r="O5" s="8">
        <v>1.3685962788495751E-2</v>
      </c>
      <c r="P5" s="8">
        <v>0.22263448633969202</v>
      </c>
      <c r="Q5" s="8">
        <v>-0.30471356956571249</v>
      </c>
      <c r="R5" s="8">
        <v>7.8076829882336607E-2</v>
      </c>
      <c r="T5" s="8">
        <v>296.75</v>
      </c>
      <c r="U5" s="8">
        <v>24.472256416536201</v>
      </c>
      <c r="V5" s="8">
        <v>0.98599999999999999</v>
      </c>
      <c r="W5" s="8">
        <v>7.6110079115105699E-17</v>
      </c>
      <c r="X5" s="8">
        <v>-0.53549376130103998</v>
      </c>
      <c r="Y5" s="8">
        <v>-0.39996357262134502</v>
      </c>
      <c r="Z5" s="14">
        <v>-0.79680350422859147</v>
      </c>
      <c r="AA5" s="15">
        <v>-0.41710975766181901</v>
      </c>
    </row>
    <row r="6" spans="1:27">
      <c r="A6" s="11" t="s">
        <v>27</v>
      </c>
      <c r="B6" s="8">
        <v>321.54999999999995</v>
      </c>
      <c r="C6" s="8">
        <v>49.52574516459395</v>
      </c>
      <c r="D6" s="8">
        <v>0.98999999996374854</v>
      </c>
      <c r="E6" s="8">
        <v>0.99999999093733605</v>
      </c>
      <c r="F6" s="8">
        <v>0.32738028466701452</v>
      </c>
      <c r="G6" s="8">
        <v>0.86075767874717701</v>
      </c>
      <c r="H6" s="8">
        <v>0.260155320167541</v>
      </c>
      <c r="I6" s="8">
        <v>0.76912465691566401</v>
      </c>
      <c r="K6" s="8">
        <v>312.67474265032854</v>
      </c>
      <c r="L6" s="8">
        <v>0.98667890681199255</v>
      </c>
      <c r="M6" s="8">
        <v>0.16893239132077301</v>
      </c>
      <c r="N6" s="8">
        <v>40.561778540907298</v>
      </c>
      <c r="O6" s="8">
        <v>3.9018988728175804E-3</v>
      </c>
      <c r="P6" s="8">
        <v>0.23044274715789048</v>
      </c>
      <c r="Q6" s="8">
        <v>-0.31640641294412952</v>
      </c>
      <c r="R6" s="8">
        <v>8.9800503067200999E-2</v>
      </c>
      <c r="T6" s="8">
        <v>301.92500000000001</v>
      </c>
      <c r="U6" s="8">
        <v>29.6779498651245</v>
      </c>
      <c r="V6" s="8">
        <v>0.98599999999999999</v>
      </c>
      <c r="W6" s="8">
        <v>2.7652689963642614E-17</v>
      </c>
      <c r="X6" s="8">
        <v>-0.55843031406402543</v>
      </c>
      <c r="Y6" s="8">
        <v>-0.212087027728557</v>
      </c>
      <c r="Z6" s="16">
        <v>-0.86182504892349199</v>
      </c>
      <c r="AA6" s="17">
        <v>-0.36821819841861703</v>
      </c>
    </row>
    <row r="7" spans="1:27">
      <c r="A7" s="11" t="s">
        <v>28</v>
      </c>
      <c r="B7" s="8">
        <v>322.05</v>
      </c>
      <c r="C7" s="8">
        <v>50.032357828053847</v>
      </c>
      <c r="D7" s="8">
        <v>0.99000000000001354</v>
      </c>
      <c r="E7" s="8">
        <v>1.0000000000034195</v>
      </c>
      <c r="F7" s="8">
        <v>0.32727082073688452</v>
      </c>
      <c r="G7" s="8">
        <v>0.81536120176315252</v>
      </c>
      <c r="H7" s="8">
        <v>0.18246714770793848</v>
      </c>
      <c r="I7" s="8">
        <v>0.71659189462661699</v>
      </c>
      <c r="K7" s="8">
        <v>312.92623906486148</v>
      </c>
      <c r="L7" s="8">
        <v>0.98661789374661302</v>
      </c>
      <c r="M7" s="8">
        <v>0.15134631014522451</v>
      </c>
      <c r="N7" s="8">
        <v>40.812480396693502</v>
      </c>
      <c r="O7" s="8">
        <v>-1.4610507218349974E-5</v>
      </c>
      <c r="P7" s="8">
        <v>0.2226536934601705</v>
      </c>
      <c r="Q7" s="8">
        <v>-0.30468150982161252</v>
      </c>
      <c r="R7" s="8">
        <v>0.10154285013669126</v>
      </c>
      <c r="T7" s="8">
        <v>302.85000000000002</v>
      </c>
      <c r="U7" s="8">
        <v>30.719253888980901</v>
      </c>
      <c r="V7" s="8">
        <v>0.98599999999999999</v>
      </c>
      <c r="W7" s="8">
        <v>3.0148074744785201E-17</v>
      </c>
      <c r="X7" s="8">
        <v>-0.54528841376304549</v>
      </c>
      <c r="Y7" s="8">
        <v>-0.16219985485076849</v>
      </c>
      <c r="Z7" s="14">
        <v>-0.75213968753814653</v>
      </c>
      <c r="AA7" s="15">
        <v>-0.40958866477012551</v>
      </c>
    </row>
    <row r="8" spans="1:27">
      <c r="A8" s="11" t="s">
        <v>29</v>
      </c>
      <c r="B8" s="8">
        <v>302.64999999999998</v>
      </c>
      <c r="C8" s="8">
        <v>30.520393415374951</v>
      </c>
      <c r="D8" s="8">
        <v>0.98999999999694044</v>
      </c>
      <c r="E8" s="8">
        <v>0.99999999923532401</v>
      </c>
      <c r="F8" s="8">
        <v>0.29989010840654351</v>
      </c>
      <c r="G8" s="8">
        <v>0.87016755342483454</v>
      </c>
      <c r="H8" s="8">
        <v>9.3261493369936707E-2</v>
      </c>
      <c r="I8" s="8">
        <v>0.69657742977142301</v>
      </c>
      <c r="K8" s="8">
        <v>297.65000000000452</v>
      </c>
      <c r="L8" s="8">
        <v>0.98660267024685555</v>
      </c>
      <c r="M8" s="8">
        <v>0.15143680096589501</v>
      </c>
      <c r="N8" s="8">
        <v>29.05</v>
      </c>
      <c r="O8" s="8">
        <v>-5.6626289454647302E-2</v>
      </c>
      <c r="P8" s="8">
        <v>0.29589721345110498</v>
      </c>
      <c r="Q8" s="8">
        <v>-0.34083018829169454</v>
      </c>
      <c r="R8" s="8">
        <v>0.21581758717739052</v>
      </c>
      <c r="T8" s="8">
        <v>293.45</v>
      </c>
      <c r="U8" s="8">
        <v>21.189198081638551</v>
      </c>
      <c r="V8" s="8">
        <v>0.98599999999999999</v>
      </c>
      <c r="W8" s="8">
        <v>7.5754027182472288E-18</v>
      </c>
      <c r="X8" s="8">
        <v>-0.46596264839172352</v>
      </c>
      <c r="Y8" s="8">
        <v>-7.2838589549064151E-2</v>
      </c>
      <c r="Z8" s="16">
        <v>-0.82601726055145197</v>
      </c>
      <c r="AA8" s="17">
        <v>-0.3320564925670621</v>
      </c>
    </row>
    <row r="9" spans="1:27">
      <c r="A9" s="11" t="s">
        <v>30</v>
      </c>
      <c r="B9" s="8">
        <v>302.85000000000002</v>
      </c>
      <c r="C9" s="8">
        <v>30.687876925324304</v>
      </c>
      <c r="D9" s="8">
        <v>0.989999999932068</v>
      </c>
      <c r="E9" s="8">
        <v>0.99999998301703608</v>
      </c>
      <c r="F9" s="8">
        <v>0.43433420360088298</v>
      </c>
      <c r="G9" s="8">
        <v>0.99964690208435047</v>
      </c>
      <c r="H9" s="8">
        <v>0.47085613012313798</v>
      </c>
      <c r="I9" s="8">
        <v>0.85303032398223855</v>
      </c>
      <c r="K9" s="8">
        <v>298.39996973846746</v>
      </c>
      <c r="L9" s="8">
        <v>0.98680107447261001</v>
      </c>
      <c r="M9" s="8">
        <v>0.20214972528597852</v>
      </c>
      <c r="N9" s="8">
        <v>26.16225474848715</v>
      </c>
      <c r="O9" s="8">
        <v>-0.12500030015345695</v>
      </c>
      <c r="P9" s="8">
        <v>0.41013554555783499</v>
      </c>
      <c r="Q9" s="8">
        <v>-0.40627359195000051</v>
      </c>
      <c r="R9" s="8">
        <v>0.31631446099684046</v>
      </c>
      <c r="T9" s="8">
        <v>290.60000000000002</v>
      </c>
      <c r="U9" s="8">
        <v>18.282700805454549</v>
      </c>
      <c r="V9" s="8">
        <v>0.98599999999999999</v>
      </c>
      <c r="W9" s="8">
        <v>3.1697721331507146E-19</v>
      </c>
      <c r="X9" s="8">
        <v>-0.76278713345527605</v>
      </c>
      <c r="Y9" s="8">
        <v>-5.9859716799109966E-2</v>
      </c>
      <c r="Z9" s="14">
        <v>-0.995135217905044</v>
      </c>
      <c r="AA9" s="15">
        <v>-0.53486129641532854</v>
      </c>
    </row>
    <row r="10" spans="1:27">
      <c r="A10" s="11" t="s">
        <v>31</v>
      </c>
      <c r="B10" s="8">
        <v>304.10000000000002</v>
      </c>
      <c r="C10" s="8">
        <v>31.938492089337501</v>
      </c>
      <c r="D10" s="8">
        <v>0.99000000009962996</v>
      </c>
      <c r="E10" s="8">
        <v>1.0000000249077099</v>
      </c>
      <c r="F10" s="8">
        <v>0.55151516199111905</v>
      </c>
      <c r="G10" s="8">
        <v>0.99869930744171098</v>
      </c>
      <c r="H10" s="8">
        <v>0.81313133239746005</v>
      </c>
      <c r="I10" s="8">
        <v>0.82339179515838601</v>
      </c>
      <c r="K10" s="8">
        <v>299.5</v>
      </c>
      <c r="L10" s="8">
        <v>0.98750309022178995</v>
      </c>
      <c r="M10" s="8">
        <v>0.378870023373442</v>
      </c>
      <c r="N10" s="8">
        <v>27.2829536786438</v>
      </c>
      <c r="O10" s="8">
        <v>-0.10543369614643</v>
      </c>
      <c r="P10" s="8">
        <v>0.36323597052093198</v>
      </c>
      <c r="Q10" s="8">
        <v>-0.38665870314406697</v>
      </c>
      <c r="R10" s="8">
        <v>0.26946911268007601</v>
      </c>
      <c r="T10" s="8">
        <v>295.3</v>
      </c>
      <c r="U10" s="8">
        <v>22.918996071526401</v>
      </c>
      <c r="V10" s="8">
        <v>0.98599999999999999</v>
      </c>
      <c r="W10" s="8">
        <v>1.85903981444868E-18</v>
      </c>
      <c r="X10" s="8">
        <v>-0.75267004966735795</v>
      </c>
      <c r="Y10" s="8">
        <v>-0.65094339847564697</v>
      </c>
      <c r="Z10" s="16">
        <v>-0.98778861761093095</v>
      </c>
      <c r="AA10" s="17">
        <v>-0.48611110448837203</v>
      </c>
    </row>
    <row r="11" spans="1:27">
      <c r="A11" s="11" t="s">
        <v>32</v>
      </c>
      <c r="B11" s="8">
        <v>303.14999999999998</v>
      </c>
      <c r="C11" s="8">
        <v>30.97312334256835</v>
      </c>
      <c r="D11" s="8">
        <v>0.99</v>
      </c>
      <c r="E11" s="8">
        <v>1</v>
      </c>
      <c r="F11" s="8">
        <v>0.3462808877229685</v>
      </c>
      <c r="G11" s="8">
        <v>1</v>
      </c>
      <c r="H11" s="8">
        <v>0.34164260327815948</v>
      </c>
      <c r="I11" s="8">
        <v>0.81725394725799549</v>
      </c>
      <c r="K11" s="8">
        <v>297.90000000004954</v>
      </c>
      <c r="L11" s="8">
        <v>0.98727376186118099</v>
      </c>
      <c r="M11" s="8">
        <v>0.31637757301402647</v>
      </c>
      <c r="N11" s="8">
        <v>25.656699687385601</v>
      </c>
      <c r="O11" s="8">
        <v>-0.12791339342687602</v>
      </c>
      <c r="P11" s="8">
        <v>0.46091525176419701</v>
      </c>
      <c r="Q11" s="8">
        <v>-0.43749446562312649</v>
      </c>
      <c r="R11" s="8">
        <v>0.33199634693310898</v>
      </c>
      <c r="T11" s="8">
        <v>293.8</v>
      </c>
      <c r="U11" s="8">
        <v>21.468276284935499</v>
      </c>
      <c r="V11" s="8">
        <v>0.98599999999999999</v>
      </c>
      <c r="W11" s="8">
        <v>5.4178624627992049E-18</v>
      </c>
      <c r="X11" s="8">
        <v>-0.61744257807731606</v>
      </c>
      <c r="Y11" s="8">
        <v>-0.2258069738745685</v>
      </c>
      <c r="Z11" s="14">
        <v>-0.99574756622314409</v>
      </c>
      <c r="AA11" s="15">
        <v>-0.50200089812278703</v>
      </c>
    </row>
    <row r="12" spans="1:27">
      <c r="A12" s="11" t="s">
        <v>33</v>
      </c>
      <c r="B12" s="8">
        <v>311.875</v>
      </c>
      <c r="C12" s="8">
        <v>39.763194367242448</v>
      </c>
      <c r="D12" s="8">
        <v>0.98999999985544207</v>
      </c>
      <c r="E12" s="8">
        <v>0.99999996386058099</v>
      </c>
      <c r="F12" s="8">
        <v>0.308235183358192</v>
      </c>
      <c r="G12" s="8">
        <v>0.87100303173065152</v>
      </c>
      <c r="H12" s="8">
        <v>0.33508764207363095</v>
      </c>
      <c r="I12" s="8">
        <v>0.77864107489585854</v>
      </c>
      <c r="K12" s="8">
        <v>304.17499999997847</v>
      </c>
      <c r="L12" s="8">
        <v>0.98709100984810649</v>
      </c>
      <c r="M12" s="8">
        <v>0.27147066961033001</v>
      </c>
      <c r="N12" s="8">
        <v>31.999902532551303</v>
      </c>
      <c r="O12" s="8">
        <v>-5.0772881844291698E-2</v>
      </c>
      <c r="P12" s="8">
        <v>0.32810179552590446</v>
      </c>
      <c r="Q12" s="8">
        <v>-0.37105029050808203</v>
      </c>
      <c r="R12" s="8">
        <v>0.187476854169152</v>
      </c>
      <c r="T12" s="8">
        <v>298.85000000000002</v>
      </c>
      <c r="U12" s="8">
        <v>26.599835932898699</v>
      </c>
      <c r="V12" s="8">
        <v>0.98599999999999999</v>
      </c>
      <c r="W12" s="8">
        <v>1.2886360444131608E-17</v>
      </c>
      <c r="X12" s="8">
        <v>-0.64645013213157598</v>
      </c>
      <c r="Y12" s="8">
        <v>-0.27094508707523302</v>
      </c>
      <c r="Z12" s="16">
        <v>-0.81521588563919001</v>
      </c>
      <c r="AA12" s="17">
        <v>-0.40924312174320149</v>
      </c>
    </row>
    <row r="13" spans="1:27">
      <c r="A13" s="11" t="s">
        <v>34</v>
      </c>
      <c r="B13" s="8">
        <v>307.45</v>
      </c>
      <c r="C13" s="8">
        <v>35.308967164277398</v>
      </c>
      <c r="D13" s="8">
        <v>0.99000000001982302</v>
      </c>
      <c r="E13" s="8">
        <v>1.0000000049559701</v>
      </c>
      <c r="F13" s="8">
        <v>0.385528534650802</v>
      </c>
      <c r="G13" s="8">
        <v>0.88893002271652199</v>
      </c>
      <c r="H13" s="8">
        <v>0.48633879423141402</v>
      </c>
      <c r="I13" s="8">
        <v>0.93460488319396895</v>
      </c>
      <c r="K13" s="8">
        <v>300.39999999994399</v>
      </c>
      <c r="L13" s="8">
        <v>0.98707572448562397</v>
      </c>
      <c r="M13" s="8">
        <v>0.26950875205034402</v>
      </c>
      <c r="N13" s="8">
        <v>28.216279068259499</v>
      </c>
      <c r="O13" s="8">
        <v>-3.8830245728575098E-3</v>
      </c>
      <c r="P13" s="8">
        <v>0.269532649868024</v>
      </c>
      <c r="Q13" s="8">
        <v>-0.33982017641514001</v>
      </c>
      <c r="R13" s="8">
        <v>0.121091345226047</v>
      </c>
      <c r="T13" s="8">
        <v>294.10000000000002</v>
      </c>
      <c r="U13" s="8">
        <v>21.927025928267199</v>
      </c>
      <c r="V13" s="8">
        <v>0.98599999999999999</v>
      </c>
      <c r="W13" s="8">
        <v>3.0120181774053298E-17</v>
      </c>
      <c r="X13" s="8">
        <v>-0.95491802692413297</v>
      </c>
      <c r="Y13" s="8">
        <v>-0.40236219763755798</v>
      </c>
      <c r="Z13" s="14">
        <v>-0.76593935489654497</v>
      </c>
      <c r="AA13" s="15">
        <v>-0.64937371015548695</v>
      </c>
    </row>
    <row r="14" spans="1:27">
      <c r="A14" s="11" t="s">
        <v>35</v>
      </c>
      <c r="B14" s="8">
        <v>308.22500000000002</v>
      </c>
      <c r="C14" s="8">
        <v>36.084538610919452</v>
      </c>
      <c r="D14" s="8">
        <v>0.98999999998452948</v>
      </c>
      <c r="E14" s="8">
        <v>0.99999999613258561</v>
      </c>
      <c r="F14" s="8">
        <v>0.39345113933086351</v>
      </c>
      <c r="G14" s="8">
        <v>0.87013953924178999</v>
      </c>
      <c r="H14" s="8">
        <v>0.49982501566409998</v>
      </c>
      <c r="I14" s="8">
        <v>0.81666120886802651</v>
      </c>
      <c r="K14" s="8">
        <v>300.1999999999685</v>
      </c>
      <c r="L14" s="8">
        <v>0.98716729984705642</v>
      </c>
      <c r="M14" s="8">
        <v>0.28807530924922453</v>
      </c>
      <c r="N14" s="8">
        <v>27.99755995281815</v>
      </c>
      <c r="O14" s="8">
        <v>-7.7822019297532352E-3</v>
      </c>
      <c r="P14" s="8">
        <v>0.26560813500040403</v>
      </c>
      <c r="Q14" s="8">
        <v>-0.328153393298386</v>
      </c>
      <c r="R14" s="8">
        <v>0.11715228134358599</v>
      </c>
      <c r="T14" s="8">
        <v>295.39999999999998</v>
      </c>
      <c r="U14" s="8">
        <v>23.202891580871199</v>
      </c>
      <c r="V14" s="8">
        <v>0.98599999999999999</v>
      </c>
      <c r="W14" s="8">
        <v>3.8598524401442903E-17</v>
      </c>
      <c r="X14" s="8">
        <v>-0.84476944804191501</v>
      </c>
      <c r="Y14" s="8">
        <v>-0.44280906021594946</v>
      </c>
      <c r="Z14" s="18">
        <v>-0.7566088438034051</v>
      </c>
      <c r="AA14" s="19">
        <v>-0.45100575685501049</v>
      </c>
    </row>
    <row r="15" spans="1:27">
      <c r="A15" s="12"/>
      <c r="C15" s="20">
        <f>AVERAGE(C3:C14)</f>
        <v>37.092930278532826</v>
      </c>
      <c r="U15" s="20">
        <f>AVERAGE(U3:U14)</f>
        <v>23.444628905100476</v>
      </c>
    </row>
    <row r="16" spans="1:27">
      <c r="A16" s="11">
        <v>2020</v>
      </c>
      <c r="B16" s="9">
        <v>308.60000000000002</v>
      </c>
      <c r="C16" s="9">
        <v>36.469702716826298</v>
      </c>
      <c r="D16" s="9">
        <v>0.990000000046525</v>
      </c>
      <c r="E16" s="9">
        <v>1.0000000116312699</v>
      </c>
      <c r="F16" s="9">
        <v>0.355733782052993</v>
      </c>
      <c r="G16" s="9">
        <v>0.80814290046691795</v>
      </c>
      <c r="H16" s="9">
        <v>0.26986753940582198</v>
      </c>
      <c r="I16" s="9">
        <v>0.72121649980545</v>
      </c>
      <c r="K16" s="9">
        <v>302.39999999993802</v>
      </c>
      <c r="L16" s="9">
        <v>0.98704510176597104</v>
      </c>
      <c r="M16" s="9">
        <v>0.261671643821414</v>
      </c>
      <c r="N16" s="9">
        <v>30.1506424816947</v>
      </c>
      <c r="O16" s="9">
        <v>-2.1459366047189499E-2</v>
      </c>
      <c r="P16" s="9">
        <v>0.26949448895113898</v>
      </c>
      <c r="Q16" s="9">
        <v>-0.33788642938529501</v>
      </c>
      <c r="R16" s="9">
        <v>0.13669645294517699</v>
      </c>
      <c r="T16" s="9">
        <v>296.39999999999998</v>
      </c>
      <c r="U16" s="9">
        <v>24.211372205518501</v>
      </c>
      <c r="V16" s="9">
        <v>0.98599999999999999</v>
      </c>
      <c r="W16" s="10">
        <v>3.23517894129752E-17</v>
      </c>
      <c r="X16" s="9">
        <v>-0.49174529314041099</v>
      </c>
      <c r="Y16" s="9">
        <v>-0.29034942388534501</v>
      </c>
      <c r="Z16" s="9">
        <v>-0.72204345464706399</v>
      </c>
      <c r="AA16" s="9">
        <v>-0.320840954780578</v>
      </c>
    </row>
    <row r="20" spans="1:27">
      <c r="A20" s="2" t="s">
        <v>36</v>
      </c>
    </row>
    <row r="21" spans="1:27">
      <c r="A21" s="2"/>
    </row>
    <row r="22" spans="1:27">
      <c r="A22" s="6" t="s">
        <v>37</v>
      </c>
      <c r="B22" s="4">
        <v>305.5</v>
      </c>
      <c r="C22" s="4">
        <v>33.3516628006521</v>
      </c>
      <c r="D22" s="4">
        <v>0.98999999982712505</v>
      </c>
      <c r="E22" s="4">
        <v>0.999999956781359</v>
      </c>
      <c r="F22" s="4">
        <v>0.43763920664787198</v>
      </c>
      <c r="G22" s="4">
        <v>0.85356628894805897</v>
      </c>
      <c r="H22" s="4">
        <v>0.418053448200225</v>
      </c>
      <c r="I22" s="4">
        <v>0.74530953168868996</v>
      </c>
      <c r="K22" s="4">
        <v>298.00489101658297</v>
      </c>
      <c r="L22" s="4">
        <v>0.98698417743195899</v>
      </c>
      <c r="M22" s="4">
        <v>0.24413900859572199</v>
      </c>
      <c r="N22" s="4">
        <v>25.7097533311928</v>
      </c>
      <c r="O22" s="4">
        <v>3.9275884690381201E-3</v>
      </c>
      <c r="P22" s="4">
        <v>0.23042476271106299</v>
      </c>
      <c r="Q22" s="4">
        <v>-0.30075856757033598</v>
      </c>
      <c r="R22" s="4">
        <v>8.9831392524889697E-2</v>
      </c>
      <c r="T22" s="4">
        <v>292.2</v>
      </c>
      <c r="U22" s="4">
        <v>20.013363782891499</v>
      </c>
      <c r="V22" s="4">
        <v>0.98599999999999999</v>
      </c>
      <c r="W22" s="5">
        <v>7.8977944272125898E-17</v>
      </c>
      <c r="X22" s="4">
        <v>-0.63683933019637995</v>
      </c>
      <c r="Y22" s="4">
        <v>-0.37595257163047702</v>
      </c>
      <c r="Z22" s="4">
        <v>-0.77307075262069702</v>
      </c>
      <c r="AA22" s="4">
        <v>-0.39193257689476002</v>
      </c>
    </row>
    <row r="23" spans="1:27">
      <c r="A23" s="6" t="s">
        <v>42</v>
      </c>
      <c r="B23" s="4">
        <v>320.39999999999998</v>
      </c>
      <c r="C23" s="4">
        <v>48.358003016204201</v>
      </c>
      <c r="D23" s="4">
        <v>0.98999999992078502</v>
      </c>
      <c r="E23" s="4">
        <v>0.99999998019632497</v>
      </c>
      <c r="F23" s="4">
        <v>0.32371035218238797</v>
      </c>
      <c r="G23" s="4">
        <v>0.83665859699249201</v>
      </c>
      <c r="H23" s="4">
        <v>0.257082909345626</v>
      </c>
      <c r="I23" s="4">
        <v>0.74120557308196999</v>
      </c>
      <c r="K23" s="4">
        <v>312.04971822030001</v>
      </c>
      <c r="L23" s="4">
        <v>0.98670946585874397</v>
      </c>
      <c r="M23" s="4">
        <v>0.17771607678453799</v>
      </c>
      <c r="N23" s="4">
        <v>39.934358547924198</v>
      </c>
      <c r="O23" s="4">
        <v>-1.9665979263852199E-3</v>
      </c>
      <c r="P23" s="4">
        <v>0.23044613421933799</v>
      </c>
      <c r="Q23" s="4">
        <v>-0.31638638508571498</v>
      </c>
      <c r="R23" s="4">
        <v>9.7630428627142204E-2</v>
      </c>
      <c r="T23" s="4">
        <v>301.39999999999998</v>
      </c>
      <c r="U23" s="4">
        <v>29.244760339719601</v>
      </c>
      <c r="V23" s="4">
        <v>0.98599999999999999</v>
      </c>
      <c r="W23" s="5">
        <v>3.0014426847672001E-17</v>
      </c>
      <c r="X23" s="4">
        <v>-0.50749921798705999</v>
      </c>
      <c r="Y23" s="4">
        <v>-0.211684376001358</v>
      </c>
      <c r="Z23" s="4">
        <v>-0.76243096590042103</v>
      </c>
      <c r="AA23" s="4">
        <v>-0.26315790414810097</v>
      </c>
    </row>
    <row r="24" spans="1:27">
      <c r="A24" s="6" t="s">
        <v>39</v>
      </c>
      <c r="B24" s="4">
        <v>304</v>
      </c>
      <c r="C24" s="4">
        <v>31.834802065792001</v>
      </c>
      <c r="D24" s="4">
        <v>0.98999999979832498</v>
      </c>
      <c r="E24" s="4">
        <v>0.99999994958139904</v>
      </c>
      <c r="F24" s="4">
        <v>0.285335093736648</v>
      </c>
      <c r="G24" s="4">
        <v>0.91066086292266801</v>
      </c>
      <c r="H24" s="4">
        <v>0.49126213788986201</v>
      </c>
      <c r="I24" s="4">
        <v>0.79409450292587203</v>
      </c>
      <c r="K24" s="4">
        <v>298.89999999994302</v>
      </c>
      <c r="L24" s="4">
        <v>0.98713694572545796</v>
      </c>
      <c r="M24" s="4">
        <v>0.28709552816662498</v>
      </c>
      <c r="N24" s="4">
        <v>26.657746495151802</v>
      </c>
      <c r="O24" s="4">
        <v>-9.1778707747315197E-2</v>
      </c>
      <c r="P24" s="4">
        <v>0.37103082201912402</v>
      </c>
      <c r="Q24" s="4">
        <v>-0.386704237415747</v>
      </c>
      <c r="R24" s="4">
        <v>0.26949787924886798</v>
      </c>
      <c r="T24" s="4">
        <v>293.8</v>
      </c>
      <c r="U24" s="4">
        <v>21.5865131229078</v>
      </c>
      <c r="V24" s="4">
        <v>0.98599999999999999</v>
      </c>
      <c r="W24" s="5">
        <v>1.39194214853954E-17</v>
      </c>
      <c r="X24" s="4">
        <v>-0.64638346433639504</v>
      </c>
      <c r="Y24" s="4">
        <v>-0.25547444820403997</v>
      </c>
      <c r="Z24" s="4">
        <v>-0.79682540893554599</v>
      </c>
      <c r="AA24" s="4">
        <v>-0.26186770200729298</v>
      </c>
    </row>
    <row r="25" spans="1:27">
      <c r="A25" s="6" t="s">
        <v>43</v>
      </c>
      <c r="B25" s="4">
        <v>309.39999999999998</v>
      </c>
      <c r="C25" s="4">
        <v>37.276832658888203</v>
      </c>
      <c r="D25" s="4">
        <v>0.99000000000920996</v>
      </c>
      <c r="E25" s="4">
        <v>1.00000000230272</v>
      </c>
      <c r="F25" s="4">
        <v>0.33894112706184298</v>
      </c>
      <c r="G25" s="4">
        <v>0.84387397766113204</v>
      </c>
      <c r="H25" s="4">
        <v>0.40852129459381098</v>
      </c>
      <c r="I25" s="4">
        <v>0.76358246803283603</v>
      </c>
      <c r="K25" s="4">
        <v>302.09999999989299</v>
      </c>
      <c r="L25" s="4">
        <v>0.98710615329442297</v>
      </c>
      <c r="M25" s="4">
        <v>0.27729801060248999</v>
      </c>
      <c r="N25" s="4">
        <v>29.914011986402599</v>
      </c>
      <c r="O25" s="4">
        <v>-2.5379851938654201E-2</v>
      </c>
      <c r="P25" s="4">
        <v>0.29293396740357802</v>
      </c>
      <c r="Q25" s="4">
        <v>-0.34767978880862899</v>
      </c>
      <c r="R25" s="4">
        <v>0.152338354343178</v>
      </c>
      <c r="T25" s="4">
        <v>296.8</v>
      </c>
      <c r="U25" s="4">
        <v>24.633531828730199</v>
      </c>
      <c r="V25" s="4">
        <v>0.98599999999999999</v>
      </c>
      <c r="W25" s="5">
        <v>7.0833830347413095E-17</v>
      </c>
      <c r="X25" s="4">
        <v>-0.65096360445022505</v>
      </c>
      <c r="Y25" s="4">
        <v>-0.31594201922416598</v>
      </c>
      <c r="Z25" s="4">
        <v>-0.75204056501388505</v>
      </c>
      <c r="AA25" s="4">
        <v>-0.325035899877548</v>
      </c>
    </row>
    <row r="28" spans="1:27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5"/>
      <c r="V28" s="4"/>
      <c r="W28" s="4"/>
      <c r="X28" s="4"/>
      <c r="Y28" s="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R100"/>
  <sheetViews>
    <sheetView topLeftCell="A65" zoomScaleNormal="100" workbookViewId="0">
      <selection activeCell="F97" sqref="F97"/>
    </sheetView>
  </sheetViews>
  <sheetFormatPr defaultRowHeight="14.45"/>
  <cols>
    <col min="1" max="1" width="10.85546875" bestFit="1" customWidth="1"/>
    <col min="2" max="2" width="14.85546875" bestFit="1" customWidth="1"/>
    <col min="3" max="3" width="18" bestFit="1" customWidth="1"/>
    <col min="4" max="4" width="16.5703125" bestFit="1" customWidth="1"/>
    <col min="5" max="5" width="18" bestFit="1" customWidth="1"/>
    <col min="6" max="6" width="10.85546875" bestFit="1" customWidth="1"/>
    <col min="7" max="7" width="14.85546875" bestFit="1" customWidth="1"/>
    <col min="8" max="10" width="18" bestFit="1" customWidth="1"/>
    <col min="11" max="11" width="10.85546875" bestFit="1" customWidth="1"/>
    <col min="12" max="12" width="14.85546875" bestFit="1" customWidth="1"/>
    <col min="13" max="14" width="16.5703125" bestFit="1" customWidth="1"/>
    <col min="15" max="15" width="18" bestFit="1" customWidth="1"/>
    <col min="16" max="17" width="12" bestFit="1" customWidth="1"/>
    <col min="18" max="18" width="12.7109375" bestFit="1" customWidth="1"/>
  </cols>
  <sheetData>
    <row r="2" spans="2:18" ht="18">
      <c r="B2" s="25" t="s">
        <v>44</v>
      </c>
      <c r="C2" s="25"/>
      <c r="D2" s="25"/>
      <c r="E2" s="25"/>
      <c r="F2" s="25"/>
      <c r="H2" s="25" t="s">
        <v>45</v>
      </c>
      <c r="I2" s="25"/>
      <c r="J2" s="25"/>
      <c r="K2" s="25"/>
      <c r="L2" s="25"/>
      <c r="N2" s="25" t="s">
        <v>46</v>
      </c>
      <c r="O2" s="25"/>
      <c r="P2" s="25"/>
      <c r="Q2" s="25"/>
      <c r="R2" s="25"/>
    </row>
    <row r="4" spans="2:18">
      <c r="C4" s="2" t="s">
        <v>47</v>
      </c>
      <c r="D4" s="2" t="s">
        <v>48</v>
      </c>
      <c r="E4" s="2" t="s">
        <v>49</v>
      </c>
      <c r="F4" s="2" t="s">
        <v>50</v>
      </c>
      <c r="I4" s="2" t="s">
        <v>47</v>
      </c>
      <c r="J4" s="2" t="s">
        <v>48</v>
      </c>
      <c r="K4" s="2" t="s">
        <v>49</v>
      </c>
      <c r="O4" s="2" t="s">
        <v>47</v>
      </c>
      <c r="P4" s="2" t="s">
        <v>48</v>
      </c>
      <c r="Q4" s="2" t="s">
        <v>49</v>
      </c>
    </row>
    <row r="5" spans="2:18">
      <c r="B5" s="2" t="s">
        <v>24</v>
      </c>
      <c r="C5">
        <v>24.267216227511</v>
      </c>
      <c r="D5">
        <v>24.844077982293999</v>
      </c>
      <c r="E5" s="8">
        <v>24.564941680942951</v>
      </c>
      <c r="F5">
        <f>D5-C5</f>
        <v>0.57686175478299972</v>
      </c>
      <c r="H5" s="2" t="s">
        <v>24</v>
      </c>
      <c r="I5">
        <v>20.451117089167901</v>
      </c>
      <c r="J5">
        <v>19.913833698982799</v>
      </c>
      <c r="K5" s="8">
        <v>19.860862378255749</v>
      </c>
      <c r="L5">
        <f>J5-I5</f>
        <v>-0.53728339018510241</v>
      </c>
      <c r="N5" s="2" t="s">
        <v>24</v>
      </c>
      <c r="O5">
        <v>28.289542347289199</v>
      </c>
      <c r="P5">
        <v>32.0352501478989</v>
      </c>
      <c r="Q5" s="8">
        <v>32.240823511753</v>
      </c>
      <c r="R5">
        <f>P5-O5</f>
        <v>3.7457078006097007</v>
      </c>
    </row>
    <row r="6" spans="2:18">
      <c r="B6" s="2" t="s">
        <v>25</v>
      </c>
      <c r="C6">
        <v>29.211967339985499</v>
      </c>
      <c r="D6">
        <v>29.333304321365301</v>
      </c>
      <c r="E6" s="8">
        <v>28.157245334088049</v>
      </c>
      <c r="F6">
        <f>D6-C6</f>
        <v>0.12133698137980176</v>
      </c>
      <c r="H6" s="2" t="s">
        <v>25</v>
      </c>
      <c r="I6">
        <v>21.1642903548757</v>
      </c>
      <c r="J6">
        <v>21.179043056692102</v>
      </c>
      <c r="K6" s="8">
        <v>21.016299626716251</v>
      </c>
      <c r="L6">
        <f>J6-I6</f>
        <v>1.4752701816401981E-2</v>
      </c>
      <c r="N6" s="2" t="s">
        <v>25</v>
      </c>
      <c r="O6">
        <v>34.455589864894897</v>
      </c>
      <c r="P6">
        <v>35.442366278105197</v>
      </c>
      <c r="Q6" s="8">
        <v>34.8943812172189</v>
      </c>
      <c r="R6">
        <f>P6-O6</f>
        <v>0.98677641321030052</v>
      </c>
    </row>
    <row r="7" spans="2:18">
      <c r="B7" s="2" t="s">
        <v>26</v>
      </c>
      <c r="C7">
        <v>33.186363552419202</v>
      </c>
      <c r="D7">
        <v>33.9440134314546</v>
      </c>
      <c r="E7" s="8">
        <v>33.9994428761905</v>
      </c>
      <c r="F7">
        <f>D7-C7</f>
        <v>0.75764987903539804</v>
      </c>
      <c r="H7" s="2" t="s">
        <v>26</v>
      </c>
      <c r="I7">
        <v>24.129196459712201</v>
      </c>
      <c r="J7">
        <v>23.885312538286399</v>
      </c>
      <c r="K7" s="8">
        <v>24.472256416536201</v>
      </c>
      <c r="L7">
        <f t="shared" ref="L7:L16" si="0">J7-I7</f>
        <v>-0.24388392142580173</v>
      </c>
      <c r="N7" s="2" t="s">
        <v>26</v>
      </c>
      <c r="O7">
        <v>40.704377112933201</v>
      </c>
      <c r="P7">
        <v>41.6145670404741</v>
      </c>
      <c r="Q7" s="8">
        <v>43.145269705729703</v>
      </c>
      <c r="R7">
        <f>P7-O7</f>
        <v>0.91018992754089822</v>
      </c>
    </row>
    <row r="8" spans="2:18">
      <c r="B8" s="2" t="s">
        <v>27</v>
      </c>
      <c r="C8">
        <v>40.687321286906503</v>
      </c>
      <c r="D8">
        <v>41.436021753585898</v>
      </c>
      <c r="E8" s="8">
        <v>40.561778540907298</v>
      </c>
      <c r="F8">
        <f>D8-C8</f>
        <v>0.74870046667939505</v>
      </c>
      <c r="H8" s="2" t="s">
        <v>27</v>
      </c>
      <c r="I8">
        <v>30.4189987222653</v>
      </c>
      <c r="J8">
        <v>29.941244288719801</v>
      </c>
      <c r="K8" s="8">
        <v>29.6779498651245</v>
      </c>
      <c r="L8">
        <f t="shared" si="0"/>
        <v>-0.47775443354549907</v>
      </c>
      <c r="N8" s="2" t="s">
        <v>27</v>
      </c>
      <c r="O8">
        <v>47.671142123854601</v>
      </c>
      <c r="P8">
        <v>49.322612511614402</v>
      </c>
      <c r="Q8" s="8">
        <v>49.52574516459395</v>
      </c>
      <c r="R8">
        <f t="shared" ref="R8:R16" si="1">P8-O8</f>
        <v>1.6514703877598009</v>
      </c>
    </row>
    <row r="9" spans="2:18">
      <c r="B9" s="2" t="s">
        <v>28</v>
      </c>
      <c r="C9">
        <v>40.281513120795601</v>
      </c>
      <c r="D9">
        <v>41.312808846758699</v>
      </c>
      <c r="E9" s="8">
        <v>40.812480396693502</v>
      </c>
      <c r="F9">
        <f t="shared" ref="F9:F16" si="2">D9-C9</f>
        <v>1.0312957259630977</v>
      </c>
      <c r="H9" s="2" t="s">
        <v>28</v>
      </c>
      <c r="I9">
        <v>30.971636326189</v>
      </c>
      <c r="J9">
        <v>30.987278529546401</v>
      </c>
      <c r="K9" s="8">
        <v>30.719253888980901</v>
      </c>
      <c r="L9">
        <f t="shared" si="0"/>
        <v>1.5642203357401741E-2</v>
      </c>
      <c r="N9" s="2" t="s">
        <v>28</v>
      </c>
      <c r="O9">
        <v>46.252367008280402</v>
      </c>
      <c r="P9">
        <v>48.590227497169998</v>
      </c>
      <c r="Q9" s="8">
        <v>50.032357828053847</v>
      </c>
      <c r="R9">
        <f t="shared" si="1"/>
        <v>2.3378604888895964</v>
      </c>
    </row>
    <row r="10" spans="2:18">
      <c r="B10" s="2" t="s">
        <v>29</v>
      </c>
      <c r="C10">
        <v>28.838691830473898</v>
      </c>
      <c r="D10">
        <v>29.176971669048001</v>
      </c>
      <c r="E10" s="8">
        <v>25.427597509310452</v>
      </c>
      <c r="F10">
        <f t="shared" si="2"/>
        <v>0.3382798385741026</v>
      </c>
      <c r="H10" s="2" t="s">
        <v>29</v>
      </c>
      <c r="I10">
        <v>19.6949646078779</v>
      </c>
      <c r="J10">
        <v>19.404314265469502</v>
      </c>
      <c r="K10" s="8">
        <v>21.189198081638551</v>
      </c>
      <c r="L10">
        <f t="shared" si="0"/>
        <v>-0.29065034240839793</v>
      </c>
      <c r="N10" s="2" t="s">
        <v>29</v>
      </c>
      <c r="O10">
        <v>35.573417192621598</v>
      </c>
      <c r="P10">
        <v>35.905650785152801</v>
      </c>
      <c r="Q10" s="8">
        <v>30.520393415374951</v>
      </c>
      <c r="R10">
        <f t="shared" si="1"/>
        <v>0.33223359253120321</v>
      </c>
    </row>
    <row r="11" spans="2:18">
      <c r="B11" s="2" t="s">
        <v>30</v>
      </c>
      <c r="C11">
        <v>25.843433592330101</v>
      </c>
      <c r="D11">
        <v>26.153715475961601</v>
      </c>
      <c r="E11" s="8">
        <v>26.16225474848715</v>
      </c>
      <c r="F11">
        <f t="shared" si="2"/>
        <v>0.31028188363150022</v>
      </c>
      <c r="H11" s="2" t="s">
        <v>30</v>
      </c>
      <c r="I11">
        <v>19.374939370517801</v>
      </c>
      <c r="J11">
        <v>19.612343218229501</v>
      </c>
      <c r="K11" s="8">
        <v>18.282700805454549</v>
      </c>
      <c r="L11">
        <f t="shared" si="0"/>
        <v>0.23740384771170042</v>
      </c>
      <c r="N11" s="2" t="s">
        <v>30</v>
      </c>
      <c r="O11">
        <v>32.669878156670599</v>
      </c>
      <c r="P11">
        <v>31.857182720748899</v>
      </c>
      <c r="Q11" s="8">
        <v>30.687876925324304</v>
      </c>
      <c r="R11">
        <f t="shared" si="1"/>
        <v>-0.81269543592170024</v>
      </c>
    </row>
    <row r="12" spans="2:18">
      <c r="B12" s="2" t="s">
        <v>31</v>
      </c>
      <c r="C12">
        <v>25.843433592330101</v>
      </c>
      <c r="D12">
        <v>27.525882735286402</v>
      </c>
      <c r="E12" s="8">
        <v>27.2829536786438</v>
      </c>
      <c r="F12">
        <f t="shared" si="2"/>
        <v>1.6824491429563011</v>
      </c>
      <c r="H12" s="2" t="s">
        <v>31</v>
      </c>
      <c r="I12">
        <v>19.374939370517801</v>
      </c>
      <c r="J12">
        <v>23.399213611872501</v>
      </c>
      <c r="K12" s="8">
        <v>22.918996071526401</v>
      </c>
      <c r="L12">
        <f t="shared" si="0"/>
        <v>4.0242742413546999</v>
      </c>
      <c r="N12" s="2" t="s">
        <v>31</v>
      </c>
      <c r="O12">
        <v>32.669878156670599</v>
      </c>
      <c r="P12">
        <v>31.938058496851401</v>
      </c>
      <c r="Q12" s="8">
        <v>31.938492089337501</v>
      </c>
      <c r="R12">
        <f t="shared" si="1"/>
        <v>-0.73181965981919816</v>
      </c>
    </row>
    <row r="13" spans="2:18">
      <c r="B13" s="2" t="s">
        <v>32</v>
      </c>
      <c r="C13">
        <v>25.471550291415799</v>
      </c>
      <c r="D13">
        <v>26.0992876330602</v>
      </c>
      <c r="E13" s="8">
        <v>25.656699687385601</v>
      </c>
      <c r="F13">
        <f t="shared" si="2"/>
        <v>0.62773734164440143</v>
      </c>
      <c r="H13" s="2" t="s">
        <v>32</v>
      </c>
      <c r="I13">
        <v>21.966198294061499</v>
      </c>
      <c r="J13">
        <v>22.0712604580138</v>
      </c>
      <c r="K13" s="8">
        <v>21.468276284935499</v>
      </c>
      <c r="L13">
        <f t="shared" si="0"/>
        <v>0.10506216395230084</v>
      </c>
      <c r="N13" s="2" t="s">
        <v>32</v>
      </c>
      <c r="O13">
        <v>30.429573607146001</v>
      </c>
      <c r="P13">
        <v>31.167106182576099</v>
      </c>
      <c r="Q13" s="8">
        <v>30.97312334256835</v>
      </c>
      <c r="R13">
        <f t="shared" si="1"/>
        <v>0.73753257543009809</v>
      </c>
    </row>
    <row r="14" spans="2:18">
      <c r="B14" s="2" t="s">
        <v>33</v>
      </c>
      <c r="C14">
        <v>31.905719627754301</v>
      </c>
      <c r="D14">
        <v>32.778728904437997</v>
      </c>
      <c r="E14" s="8">
        <v>31.999902532551303</v>
      </c>
      <c r="F14">
        <f t="shared" si="2"/>
        <v>0.8730092766836961</v>
      </c>
      <c r="H14" s="2" t="s">
        <v>33</v>
      </c>
      <c r="I14">
        <v>27.1400856355733</v>
      </c>
      <c r="J14">
        <v>27.146449976292899</v>
      </c>
      <c r="K14" s="8">
        <v>26.599835932898699</v>
      </c>
      <c r="L14">
        <f t="shared" si="0"/>
        <v>6.3643407195996815E-3</v>
      </c>
      <c r="N14" s="2" t="s">
        <v>33</v>
      </c>
      <c r="O14">
        <v>37.498748067876903</v>
      </c>
      <c r="P14">
        <v>39.2917103703546</v>
      </c>
      <c r="Q14" s="8">
        <v>39.763194367242448</v>
      </c>
      <c r="R14">
        <f t="shared" si="1"/>
        <v>1.7929623024776973</v>
      </c>
    </row>
    <row r="15" spans="2:18">
      <c r="B15" s="2" t="s">
        <v>34</v>
      </c>
      <c r="C15">
        <v>27.9074270744279</v>
      </c>
      <c r="D15">
        <v>28.524484494063099</v>
      </c>
      <c r="E15" s="8">
        <v>28.216279068259499</v>
      </c>
      <c r="F15">
        <f t="shared" si="2"/>
        <v>0.61705741963519856</v>
      </c>
      <c r="H15" s="2" t="s">
        <v>34</v>
      </c>
      <c r="I15">
        <v>22.128493319558899</v>
      </c>
      <c r="J15">
        <v>21.926943821509798</v>
      </c>
      <c r="K15" s="8">
        <v>21.927025928267199</v>
      </c>
      <c r="L15">
        <f t="shared" si="0"/>
        <v>-0.20154949804910061</v>
      </c>
      <c r="N15" s="2" t="s">
        <v>34</v>
      </c>
      <c r="O15">
        <v>33.289279550487997</v>
      </c>
      <c r="P15">
        <v>35.305580175179401</v>
      </c>
      <c r="Q15" s="8">
        <v>35.308967164277398</v>
      </c>
      <c r="R15">
        <f t="shared" si="1"/>
        <v>2.0163006246914037</v>
      </c>
    </row>
    <row r="16" spans="2:18">
      <c r="B16" s="2" t="s">
        <v>35</v>
      </c>
      <c r="C16">
        <v>27.1583918692148</v>
      </c>
      <c r="D16">
        <v>27.842746321863999</v>
      </c>
      <c r="E16" s="8">
        <v>27.99755995281815</v>
      </c>
      <c r="F16">
        <f t="shared" si="2"/>
        <v>0.68435445264919892</v>
      </c>
      <c r="H16" s="2" t="s">
        <v>35</v>
      </c>
      <c r="I16">
        <v>22.726634644392199</v>
      </c>
      <c r="J16">
        <v>22.421456756527899</v>
      </c>
      <c r="K16" s="8">
        <v>23.202891580871199</v>
      </c>
      <c r="L16">
        <f t="shared" si="0"/>
        <v>-0.30517788786429989</v>
      </c>
      <c r="N16" s="2" t="s">
        <v>35</v>
      </c>
      <c r="O16">
        <v>32.511739768811601</v>
      </c>
      <c r="P16">
        <v>34.959145526307402</v>
      </c>
      <c r="Q16" s="8">
        <v>36.084538610919452</v>
      </c>
      <c r="R16">
        <f t="shared" si="1"/>
        <v>2.447405757495801</v>
      </c>
    </row>
    <row r="17" spans="1:18">
      <c r="C17" s="21">
        <f>AVERAGE(C5:C16)</f>
        <v>30.050252450463727</v>
      </c>
      <c r="D17" s="21">
        <f>AVERAGE(D5:D16)</f>
        <v>30.747670297431643</v>
      </c>
      <c r="E17" s="20">
        <f>AVERAGE(E5:E16)</f>
        <v>30.069928000523188</v>
      </c>
      <c r="F17" s="21">
        <f>D17-C17</f>
        <v>0.69741784696791598</v>
      </c>
      <c r="I17" s="21">
        <f>AVERAGE(I5:I16)</f>
        <v>23.295124516225798</v>
      </c>
      <c r="J17" s="21">
        <f>AVERAGE(J5:J16)</f>
        <v>23.490724518345285</v>
      </c>
      <c r="K17" s="20">
        <f>AVERAGE(K5:K16)</f>
        <v>23.444628905100476</v>
      </c>
      <c r="L17" s="21">
        <f>J17-I17</f>
        <v>0.19560000211948747</v>
      </c>
      <c r="O17" s="21">
        <f>AVERAGE(O5:O16)</f>
        <v>36.001294413128136</v>
      </c>
      <c r="P17" s="21">
        <f>AVERAGE(P5:P16)</f>
        <v>37.285788144369434</v>
      </c>
      <c r="Q17" s="20">
        <f>AVERAGE(Q5:Q16)</f>
        <v>37.092930278532826</v>
      </c>
      <c r="R17" s="21">
        <f>P17-O17</f>
        <v>1.2844937312412981</v>
      </c>
    </row>
    <row r="18" spans="1:18">
      <c r="B18" s="11">
        <v>2020</v>
      </c>
      <c r="C18" s="2">
        <v>29.910604475922</v>
      </c>
      <c r="D18" s="2">
        <v>30.4614214013124</v>
      </c>
      <c r="E18" s="9">
        <v>30.1506424816947</v>
      </c>
      <c r="F18" s="2">
        <f>D18-C18</f>
        <v>0.55081692539040006</v>
      </c>
      <c r="H18" s="11">
        <v>2020</v>
      </c>
      <c r="I18" s="2">
        <v>24.211372205518501</v>
      </c>
      <c r="J18" s="2">
        <v>24.5454926754715</v>
      </c>
      <c r="K18" s="9">
        <v>24.211372205518501</v>
      </c>
      <c r="L18" s="2">
        <f>J18-I18</f>
        <v>0.3341204699529996</v>
      </c>
      <c r="N18" s="11">
        <v>2020</v>
      </c>
      <c r="O18" s="2">
        <v>35.282178197823001</v>
      </c>
      <c r="P18" s="2">
        <v>36.488065104943601</v>
      </c>
      <c r="Q18" s="9">
        <v>36.469702716826298</v>
      </c>
      <c r="R18" s="2">
        <f>P18-O18</f>
        <v>1.2058869071206004</v>
      </c>
    </row>
    <row r="21" spans="1:18" s="8" customFormat="1">
      <c r="A21"/>
      <c r="B21" s="11" t="s">
        <v>36</v>
      </c>
      <c r="H21" s="11" t="s">
        <v>36</v>
      </c>
      <c r="N21" s="2" t="s">
        <v>36</v>
      </c>
    </row>
    <row r="22" spans="1:18" s="8" customFormat="1">
      <c r="A22"/>
      <c r="B22" s="12"/>
      <c r="H22" s="12"/>
      <c r="N22"/>
    </row>
    <row r="23" spans="1:18" s="8" customFormat="1">
      <c r="A23"/>
      <c r="B23" s="11" t="s">
        <v>37</v>
      </c>
      <c r="C23" s="8">
        <v>25.594780089322299</v>
      </c>
      <c r="D23" s="8">
        <v>25.903654580754001</v>
      </c>
      <c r="E23" s="13">
        <v>25.7097533311928</v>
      </c>
      <c r="F23" s="8">
        <f>D23-C23</f>
        <v>0.30887449143170187</v>
      </c>
      <c r="H23" s="11" t="s">
        <v>37</v>
      </c>
      <c r="I23" s="8">
        <v>20.7521171753008</v>
      </c>
      <c r="J23" s="8">
        <v>20.014411693444199</v>
      </c>
      <c r="K23" s="13">
        <v>20.013363782891499</v>
      </c>
      <c r="L23" s="8">
        <f>J23-I23</f>
        <v>-0.7377054818566009</v>
      </c>
      <c r="N23" s="2" t="s">
        <v>37</v>
      </c>
      <c r="O23" s="8">
        <v>32.109873814909797</v>
      </c>
      <c r="P23" s="8">
        <v>33.352897781257099</v>
      </c>
      <c r="Q23" s="13">
        <v>33.3516628006521</v>
      </c>
      <c r="R23" s="8">
        <f>P23-O23</f>
        <v>1.2430239663473017</v>
      </c>
    </row>
    <row r="24" spans="1:18" s="8" customFormat="1">
      <c r="A24"/>
      <c r="B24" s="11" t="s">
        <v>38</v>
      </c>
      <c r="C24" s="8">
        <v>39.435128882872597</v>
      </c>
      <c r="D24" s="8">
        <v>40.317884253909902</v>
      </c>
      <c r="E24" s="13">
        <v>39.934358547924198</v>
      </c>
      <c r="F24" s="8">
        <f t="shared" ref="F24:F26" si="3">D24-C24</f>
        <v>0.88275537103730528</v>
      </c>
      <c r="H24" s="11" t="s">
        <v>38</v>
      </c>
      <c r="I24" s="8">
        <v>29.260098794483699</v>
      </c>
      <c r="J24" s="8">
        <v>29.2604903115799</v>
      </c>
      <c r="K24" s="13">
        <v>29.244760339719601</v>
      </c>
      <c r="L24" s="8">
        <f t="shared" ref="L24:L26" si="4">J24-I24</f>
        <v>3.915170962009995E-4</v>
      </c>
      <c r="N24" s="2" t="s">
        <v>38</v>
      </c>
      <c r="O24" s="8">
        <v>45.739113549203402</v>
      </c>
      <c r="P24" s="8">
        <v>48.377968335132302</v>
      </c>
      <c r="Q24" s="13">
        <v>48.358003016204201</v>
      </c>
      <c r="R24" s="8">
        <f t="shared" ref="R24:R26" si="5">P24-O24</f>
        <v>2.6388547859288991</v>
      </c>
    </row>
    <row r="25" spans="1:18" s="8" customFormat="1">
      <c r="A25"/>
      <c r="B25" s="11" t="s">
        <v>39</v>
      </c>
      <c r="C25" s="8">
        <v>26.283996672195901</v>
      </c>
      <c r="D25" s="8">
        <v>27.026389323525301</v>
      </c>
      <c r="E25" s="13">
        <v>26.657746495151802</v>
      </c>
      <c r="F25" s="8">
        <f t="shared" si="3"/>
        <v>0.74239265132939991</v>
      </c>
      <c r="H25" s="11" t="s">
        <v>39</v>
      </c>
      <c r="I25" s="8">
        <v>21.5860103153904</v>
      </c>
      <c r="J25" s="8">
        <v>21.6588864338093</v>
      </c>
      <c r="K25" s="13">
        <v>21.5865131229078</v>
      </c>
      <c r="L25" s="8">
        <f t="shared" si="4"/>
        <v>7.2876118418900404E-2</v>
      </c>
      <c r="N25" s="2" t="s">
        <v>39</v>
      </c>
      <c r="O25" s="8">
        <v>31.731956785326901</v>
      </c>
      <c r="P25" s="8">
        <v>31.835147102130701</v>
      </c>
      <c r="Q25" s="13">
        <v>31.834802065792001</v>
      </c>
      <c r="R25" s="8">
        <f t="shared" si="5"/>
        <v>0.10319031680380064</v>
      </c>
    </row>
    <row r="26" spans="1:18" s="8" customFormat="1">
      <c r="A26"/>
      <c r="B26" s="11" t="s">
        <v>40</v>
      </c>
      <c r="C26" s="8">
        <v>29.6500460127981</v>
      </c>
      <c r="D26" s="8">
        <v>30.226520903186898</v>
      </c>
      <c r="E26" s="13">
        <v>29.914011986402599</v>
      </c>
      <c r="F26" s="8">
        <f t="shared" si="3"/>
        <v>0.5764748903887984</v>
      </c>
      <c r="H26" s="11" t="s">
        <v>40</v>
      </c>
      <c r="I26" s="8">
        <v>24.635059322024599</v>
      </c>
      <c r="J26" s="8">
        <v>24.6331626256802</v>
      </c>
      <c r="K26" s="13">
        <v>24.633531828730199</v>
      </c>
      <c r="L26" s="8">
        <f t="shared" si="4"/>
        <v>-1.8966963443993734E-3</v>
      </c>
      <c r="N26" s="2" t="s">
        <v>40</v>
      </c>
      <c r="O26" s="8">
        <v>34.834665647497403</v>
      </c>
      <c r="P26" s="8">
        <v>37.275239167384299</v>
      </c>
      <c r="Q26" s="13">
        <v>37.276832658888203</v>
      </c>
      <c r="R26" s="8">
        <f t="shared" si="5"/>
        <v>2.4405735198868967</v>
      </c>
    </row>
    <row r="32" spans="1:18">
      <c r="B32" t="s">
        <v>51</v>
      </c>
    </row>
    <row r="33" spans="2:6">
      <c r="B33" s="12" t="s">
        <v>36</v>
      </c>
      <c r="C33" s="12" t="s">
        <v>52</v>
      </c>
      <c r="D33" s="12" t="s">
        <v>53</v>
      </c>
      <c r="E33" s="12" t="s">
        <v>54</v>
      </c>
      <c r="F33" s="12" t="s">
        <v>55</v>
      </c>
    </row>
    <row r="34" spans="2:6">
      <c r="B34" s="12" t="s">
        <v>37</v>
      </c>
      <c r="C34" s="12" t="s">
        <v>56</v>
      </c>
      <c r="D34" s="12">
        <v>20.010000000000002</v>
      </c>
      <c r="E34" s="12">
        <v>33.35</v>
      </c>
      <c r="F34" s="12">
        <v>25.9</v>
      </c>
    </row>
    <row r="35" spans="2:6">
      <c r="B35" s="12"/>
      <c r="C35" s="12" t="s">
        <v>47</v>
      </c>
      <c r="D35" s="12">
        <v>20.75</v>
      </c>
      <c r="E35" s="12">
        <v>32.11</v>
      </c>
      <c r="F35" s="12">
        <v>25.59</v>
      </c>
    </row>
    <row r="36" spans="2:6">
      <c r="B36" s="12"/>
      <c r="C36" s="12" t="s">
        <v>50</v>
      </c>
      <c r="D36" s="12">
        <f>(D34-D35)</f>
        <v>-0.73999999999999844</v>
      </c>
      <c r="E36" s="12">
        <f>(E34-E35)</f>
        <v>1.240000000000002</v>
      </c>
      <c r="F36" s="12">
        <f>(F34-F35)</f>
        <v>0.30999999999999872</v>
      </c>
    </row>
    <row r="37" spans="2:6">
      <c r="B37" s="12"/>
      <c r="C37" s="11" t="s">
        <v>57</v>
      </c>
      <c r="D37" s="12">
        <f>((D34-D35)/D35)*100</f>
        <v>-3.5662650602409562</v>
      </c>
      <c r="E37" s="12">
        <f>((E34-E35)/E35)*100</f>
        <v>3.8617253192152043</v>
      </c>
      <c r="F37" s="12">
        <f>((F34-F35)/F35)*100</f>
        <v>1.2114107073075369</v>
      </c>
    </row>
    <row r="38" spans="2:6">
      <c r="B38" s="12" t="s">
        <v>58</v>
      </c>
      <c r="C38" s="12" t="s">
        <v>56</v>
      </c>
      <c r="D38" s="12">
        <v>29.26</v>
      </c>
      <c r="E38" s="12">
        <v>48.38</v>
      </c>
      <c r="F38" s="12">
        <v>40.32</v>
      </c>
    </row>
    <row r="39" spans="2:6">
      <c r="B39" s="12"/>
      <c r="C39" s="12" t="s">
        <v>47</v>
      </c>
      <c r="D39" s="12">
        <v>29.26</v>
      </c>
      <c r="E39" s="12">
        <v>45.74</v>
      </c>
      <c r="F39" s="12">
        <v>39.44</v>
      </c>
    </row>
    <row r="40" spans="2:6">
      <c r="B40" s="12"/>
      <c r="C40" s="12" t="s">
        <v>50</v>
      </c>
      <c r="D40" s="12">
        <f>(D38-D39)</f>
        <v>0</v>
      </c>
      <c r="E40" s="12">
        <f>(E38-E39)</f>
        <v>2.6400000000000006</v>
      </c>
      <c r="F40" s="12">
        <f>(F38-F39)</f>
        <v>0.88000000000000256</v>
      </c>
    </row>
    <row r="41" spans="2:6">
      <c r="B41" s="12"/>
      <c r="C41" s="11" t="s">
        <v>57</v>
      </c>
      <c r="D41" s="12">
        <v>0</v>
      </c>
      <c r="E41" s="12">
        <f>((E38-E39)/E39)*100</f>
        <v>5.7717533887188459</v>
      </c>
      <c r="F41" s="12">
        <f>((F38-F39)/F39)*100</f>
        <v>2.2312373225152196</v>
      </c>
    </row>
    <row r="42" spans="2:6">
      <c r="B42" s="12" t="s">
        <v>39</v>
      </c>
      <c r="C42" s="12" t="s">
        <v>56</v>
      </c>
      <c r="D42" s="12">
        <v>21.66</v>
      </c>
      <c r="E42" s="12">
        <v>31.84</v>
      </c>
      <c r="F42" s="12">
        <v>27.03</v>
      </c>
    </row>
    <row r="43" spans="2:6">
      <c r="B43" s="12"/>
      <c r="C43" s="12" t="s">
        <v>47</v>
      </c>
      <c r="D43" s="12">
        <v>21.59</v>
      </c>
      <c r="E43" s="12">
        <v>31.73</v>
      </c>
      <c r="F43" s="12">
        <v>26.28</v>
      </c>
    </row>
    <row r="44" spans="2:6">
      <c r="B44" s="12"/>
      <c r="C44" s="12" t="s">
        <v>50</v>
      </c>
      <c r="D44" s="12">
        <f>(D42-D43)</f>
        <v>7.0000000000000284E-2</v>
      </c>
      <c r="E44" s="12">
        <f>(E42-E43)</f>
        <v>0.10999999999999943</v>
      </c>
      <c r="F44" s="12">
        <f>(F42-F43)</f>
        <v>0.75</v>
      </c>
    </row>
    <row r="45" spans="2:6">
      <c r="B45" s="12"/>
      <c r="C45" s="11" t="s">
        <v>57</v>
      </c>
      <c r="D45" s="12">
        <f>((D42-D43)/D43)*100</f>
        <v>0.32422417786012175</v>
      </c>
      <c r="E45" s="12">
        <f t="shared" ref="E45:F45" si="6">((E42-E43)/E43)*100</f>
        <v>0.34667507091080813</v>
      </c>
      <c r="F45" s="12">
        <f t="shared" si="6"/>
        <v>2.8538812785388128</v>
      </c>
    </row>
    <row r="46" spans="2:6">
      <c r="B46" s="12" t="s">
        <v>59</v>
      </c>
      <c r="C46" s="12" t="s">
        <v>56</v>
      </c>
      <c r="D46" s="12">
        <v>24.63</v>
      </c>
      <c r="E46" s="12">
        <v>37.28</v>
      </c>
      <c r="F46" s="12">
        <v>30.27</v>
      </c>
    </row>
    <row r="47" spans="2:6">
      <c r="B47" s="12"/>
      <c r="C47" s="12" t="s">
        <v>47</v>
      </c>
      <c r="D47" s="12">
        <v>24.64</v>
      </c>
      <c r="E47" s="12">
        <v>34.83</v>
      </c>
      <c r="F47" s="12">
        <v>29.65</v>
      </c>
    </row>
    <row r="48" spans="2:6">
      <c r="B48" s="12"/>
      <c r="C48" s="12" t="s">
        <v>50</v>
      </c>
      <c r="D48" s="12">
        <f>(D46-D47)</f>
        <v>-1.0000000000001563E-2</v>
      </c>
      <c r="E48" s="12">
        <f>(E46-E47)</f>
        <v>2.4500000000000028</v>
      </c>
      <c r="F48" s="12">
        <f>(F46-F47)</f>
        <v>0.62000000000000099</v>
      </c>
    </row>
    <row r="49" spans="2:6">
      <c r="B49" s="12"/>
      <c r="C49" s="11" t="s">
        <v>57</v>
      </c>
      <c r="D49" s="12">
        <f>((D46-D47)/D47)*100</f>
        <v>-4.0584415584421926E-2</v>
      </c>
      <c r="E49" s="12">
        <f>((E46-E47)/E47)*100</f>
        <v>7.03416594889464</v>
      </c>
      <c r="F49" s="12">
        <f>((F46-F47)/F47)*100</f>
        <v>2.0910623946037132</v>
      </c>
    </row>
    <row r="50" spans="2:6">
      <c r="B50" s="12" t="s">
        <v>60</v>
      </c>
      <c r="C50" s="12" t="s">
        <v>56</v>
      </c>
      <c r="D50" s="12">
        <v>24.55</v>
      </c>
      <c r="E50" s="12">
        <v>36.49</v>
      </c>
      <c r="F50" s="12">
        <v>30.46</v>
      </c>
    </row>
    <row r="51" spans="2:6">
      <c r="B51" s="12"/>
      <c r="C51" s="12" t="s">
        <v>47</v>
      </c>
      <c r="D51" s="12">
        <v>24.21</v>
      </c>
      <c r="E51" s="12">
        <v>35.28</v>
      </c>
      <c r="F51" s="12">
        <v>29.91</v>
      </c>
    </row>
    <row r="52" spans="2:6">
      <c r="B52" s="12"/>
      <c r="C52" s="12" t="s">
        <v>50</v>
      </c>
      <c r="D52" s="12">
        <f>(D50-D51)</f>
        <v>0.33999999999999986</v>
      </c>
      <c r="E52" s="12">
        <f>(E50-E51)</f>
        <v>1.2100000000000009</v>
      </c>
      <c r="F52" s="12">
        <f>(F50-F51)</f>
        <v>0.55000000000000071</v>
      </c>
    </row>
    <row r="53" spans="2:6">
      <c r="C53" s="11" t="s">
        <v>57</v>
      </c>
      <c r="D53">
        <f>((D50-D51)/D51)*100</f>
        <v>1.404378356051218</v>
      </c>
      <c r="E53">
        <f>((E50-E51)/E51)*100</f>
        <v>3.4297052154195034</v>
      </c>
      <c r="F53">
        <f>((F50-F51)/F51)*100</f>
        <v>1.8388498829822826</v>
      </c>
    </row>
    <row r="56" spans="2:6">
      <c r="B56" s="12" t="s">
        <v>61</v>
      </c>
      <c r="C56" s="12"/>
      <c r="D56" s="12"/>
      <c r="E56" s="12"/>
      <c r="F56" s="12"/>
    </row>
    <row r="57" spans="2:6">
      <c r="B57" s="12" t="s">
        <v>36</v>
      </c>
      <c r="C57" s="12" t="s">
        <v>52</v>
      </c>
      <c r="D57" s="12" t="s">
        <v>62</v>
      </c>
      <c r="E57" s="12" t="s">
        <v>63</v>
      </c>
      <c r="F57" s="12" t="s">
        <v>64</v>
      </c>
    </row>
    <row r="58" spans="2:6">
      <c r="B58" s="12" t="s">
        <v>37</v>
      </c>
      <c r="C58" s="12" t="s">
        <v>56</v>
      </c>
      <c r="D58" s="12">
        <v>-0.34</v>
      </c>
      <c r="E58" s="12">
        <v>0.82</v>
      </c>
      <c r="F58" s="12">
        <v>0.19</v>
      </c>
    </row>
    <row r="59" spans="2:6">
      <c r="B59" s="12"/>
      <c r="C59" s="12" t="s">
        <v>47</v>
      </c>
      <c r="D59" s="12">
        <v>-0.38</v>
      </c>
      <c r="E59" s="12">
        <v>0.85</v>
      </c>
      <c r="F59" s="12">
        <v>0.27</v>
      </c>
    </row>
    <row r="60" spans="2:6">
      <c r="B60" s="12"/>
      <c r="C60" s="12" t="s">
        <v>50</v>
      </c>
      <c r="D60" s="12">
        <f>(D58-D59)</f>
        <v>3.999999999999998E-2</v>
      </c>
      <c r="E60" s="12">
        <f>(E58-E59)</f>
        <v>-3.0000000000000027E-2</v>
      </c>
      <c r="F60" s="12">
        <f>(F58-F59)</f>
        <v>-8.0000000000000016E-2</v>
      </c>
    </row>
    <row r="61" spans="2:6">
      <c r="B61" s="12"/>
      <c r="C61" s="11" t="s">
        <v>57</v>
      </c>
      <c r="D61" s="12">
        <f>((D58-D59)/D59)*100</f>
        <v>-10.52631578947368</v>
      </c>
      <c r="E61" s="12">
        <f t="shared" ref="E61:F61" si="7">((E58-E59)/E59)*100</f>
        <v>-3.5294117647058858</v>
      </c>
      <c r="F61" s="12">
        <f t="shared" si="7"/>
        <v>-29.629629629629633</v>
      </c>
    </row>
    <row r="62" spans="2:6">
      <c r="B62" s="12" t="s">
        <v>58</v>
      </c>
      <c r="C62" s="12" t="s">
        <v>56</v>
      </c>
      <c r="D62" s="12">
        <v>-0.08</v>
      </c>
      <c r="E62" s="12">
        <v>0.84</v>
      </c>
      <c r="F62" s="12">
        <v>0.2</v>
      </c>
    </row>
    <row r="63" spans="2:6">
      <c r="B63" s="12"/>
      <c r="C63" s="12" t="s">
        <v>47</v>
      </c>
      <c r="D63" s="12">
        <v>-0.21</v>
      </c>
      <c r="E63" s="12">
        <v>0.81</v>
      </c>
      <c r="F63" s="12">
        <v>0.26</v>
      </c>
    </row>
    <row r="64" spans="2:6">
      <c r="B64" s="12"/>
      <c r="C64" s="12" t="s">
        <v>50</v>
      </c>
      <c r="D64" s="12">
        <f>(D62-D63)</f>
        <v>0.13</v>
      </c>
      <c r="E64" s="12">
        <f>(E62-E63)</f>
        <v>2.9999999999999916E-2</v>
      </c>
      <c r="F64" s="12">
        <f>(F62-F63)</f>
        <v>-0.06</v>
      </c>
    </row>
    <row r="65" spans="2:6">
      <c r="B65" s="12"/>
      <c r="C65" s="11" t="s">
        <v>57</v>
      </c>
      <c r="D65" s="12">
        <f>((D62-D63)/D63)*100</f>
        <v>-61.904761904761905</v>
      </c>
      <c r="E65" s="12">
        <f t="shared" ref="E65:F65" si="8">((E62-E63)/E63)*100</f>
        <v>3.7037037037036931</v>
      </c>
      <c r="F65" s="12">
        <f t="shared" si="8"/>
        <v>-23.076923076923077</v>
      </c>
    </row>
    <row r="66" spans="2:6">
      <c r="B66" s="12" t="s">
        <v>39</v>
      </c>
      <c r="C66" s="12" t="s">
        <v>56</v>
      </c>
      <c r="D66" s="12">
        <v>-0.25</v>
      </c>
      <c r="E66" s="12">
        <v>0.91</v>
      </c>
      <c r="F66" s="12">
        <v>0.31</v>
      </c>
    </row>
    <row r="67" spans="2:6">
      <c r="B67" s="12"/>
      <c r="C67" s="12" t="s">
        <v>47</v>
      </c>
      <c r="D67" s="12">
        <v>-0.26</v>
      </c>
      <c r="E67" s="12">
        <v>0.9</v>
      </c>
      <c r="F67" s="12">
        <v>0.43</v>
      </c>
    </row>
    <row r="68" spans="2:6">
      <c r="B68" s="12"/>
      <c r="C68" s="12" t="s">
        <v>50</v>
      </c>
      <c r="D68" s="12">
        <f>(D66-D67)</f>
        <v>1.0000000000000009E-2</v>
      </c>
      <c r="E68" s="12">
        <f>(E66-E67)</f>
        <v>1.0000000000000009E-2</v>
      </c>
      <c r="F68" s="12">
        <f>(F66-F67)</f>
        <v>-0.12</v>
      </c>
    </row>
    <row r="69" spans="2:6">
      <c r="B69" s="12"/>
      <c r="C69" s="11" t="s">
        <v>57</v>
      </c>
      <c r="D69" s="12">
        <f>((D66-D67)/D67)*100</f>
        <v>-3.8461538461538494</v>
      </c>
      <c r="E69" s="12">
        <f>((E66-E67)/E67)*100</f>
        <v>1.111111111111112</v>
      </c>
      <c r="F69" s="12">
        <f t="shared" ref="F69" si="9">((F66-F67)/F67)*100</f>
        <v>-27.906976744186046</v>
      </c>
    </row>
    <row r="70" spans="2:6">
      <c r="B70" s="12" t="s">
        <v>59</v>
      </c>
      <c r="C70" s="12" t="s">
        <v>56</v>
      </c>
      <c r="D70" s="12">
        <v>-0.32</v>
      </c>
      <c r="E70" s="12">
        <v>0.83</v>
      </c>
      <c r="F70" s="12">
        <v>0.25</v>
      </c>
    </row>
    <row r="71" spans="2:6">
      <c r="B71" s="12"/>
      <c r="C71" s="12" t="s">
        <v>47</v>
      </c>
      <c r="D71" s="12">
        <v>-0.3</v>
      </c>
      <c r="E71" s="12">
        <v>0.84</v>
      </c>
      <c r="F71" s="12">
        <v>0.35</v>
      </c>
    </row>
    <row r="72" spans="2:6">
      <c r="B72" s="12"/>
      <c r="C72" s="12" t="s">
        <v>50</v>
      </c>
      <c r="D72" s="12">
        <f>(D70-D71)</f>
        <v>-2.0000000000000018E-2</v>
      </c>
      <c r="E72" s="12">
        <f>(E70-E71)</f>
        <v>-1.0000000000000009E-2</v>
      </c>
      <c r="F72" s="12">
        <f>(F70-F71)</f>
        <v>-9.9999999999999978E-2</v>
      </c>
    </row>
    <row r="73" spans="2:6">
      <c r="B73" s="12"/>
      <c r="C73" s="11" t="s">
        <v>57</v>
      </c>
      <c r="D73" s="12">
        <f>((D70-D71)/D71)*100</f>
        <v>6.6666666666666732</v>
      </c>
      <c r="E73" s="12">
        <f>((E70-E71)/E71)*100</f>
        <v>-1.1904761904761916</v>
      </c>
      <c r="F73" s="12">
        <f>((F70-F71)/F71)*100</f>
        <v>-28.571428571428566</v>
      </c>
    </row>
    <row r="74" spans="2:6">
      <c r="B74" s="12" t="s">
        <v>60</v>
      </c>
      <c r="C74" s="12" t="s">
        <v>56</v>
      </c>
      <c r="D74" s="12">
        <v>-0.15</v>
      </c>
      <c r="E74" s="12">
        <v>0.79</v>
      </c>
      <c r="F74" s="12">
        <v>0.23</v>
      </c>
    </row>
    <row r="75" spans="2:6">
      <c r="B75" s="12"/>
      <c r="C75" s="12" t="s">
        <v>47</v>
      </c>
      <c r="D75" s="12">
        <v>-0.28999999999999998</v>
      </c>
      <c r="E75" s="12">
        <v>0.81</v>
      </c>
      <c r="F75" s="12">
        <v>0.32</v>
      </c>
    </row>
    <row r="76" spans="2:6">
      <c r="C76" t="s">
        <v>50</v>
      </c>
      <c r="D76">
        <f>(D74-D75)</f>
        <v>0.13999999999999999</v>
      </c>
      <c r="E76">
        <f>(E74-E75)</f>
        <v>-2.0000000000000018E-2</v>
      </c>
      <c r="F76">
        <f>(F74-F75)</f>
        <v>-0.09</v>
      </c>
    </row>
    <row r="77" spans="2:6">
      <c r="C77" s="11" t="s">
        <v>57</v>
      </c>
      <c r="D77">
        <f>((D74-D75)/D75)*100</f>
        <v>-48.275862068965516</v>
      </c>
      <c r="E77">
        <f t="shared" ref="E77:F77" si="10">((E74-E75)/E75)*100</f>
        <v>-2.4691358024691379</v>
      </c>
      <c r="F77">
        <f t="shared" si="10"/>
        <v>-28.125</v>
      </c>
    </row>
    <row r="80" spans="2:6">
      <c r="B80" s="11" t="s">
        <v>36</v>
      </c>
      <c r="C80" s="11" t="s">
        <v>52</v>
      </c>
      <c r="D80" s="11" t="s">
        <v>65</v>
      </c>
      <c r="E80" s="11" t="s">
        <v>66</v>
      </c>
      <c r="F80" s="11" t="s">
        <v>67</v>
      </c>
    </row>
    <row r="81" spans="2:6">
      <c r="B81" s="12" t="s">
        <v>37</v>
      </c>
      <c r="C81" s="12" t="s">
        <v>56</v>
      </c>
      <c r="D81" s="12">
        <v>-0.61</v>
      </c>
      <c r="E81" s="12">
        <v>0.26</v>
      </c>
      <c r="F81" s="12">
        <v>0.02</v>
      </c>
    </row>
    <row r="82" spans="2:6">
      <c r="B82" s="12"/>
      <c r="C82" s="12" t="s">
        <v>47</v>
      </c>
      <c r="D82" s="12">
        <v>-0.64</v>
      </c>
      <c r="E82" s="12">
        <v>0.44</v>
      </c>
      <c r="F82" s="12">
        <v>-0.01</v>
      </c>
    </row>
    <row r="83" spans="2:6">
      <c r="B83" s="12"/>
      <c r="C83" s="12" t="s">
        <v>50</v>
      </c>
      <c r="D83" s="11">
        <f>(D81-D82)</f>
        <v>3.0000000000000027E-2</v>
      </c>
      <c r="E83" s="11">
        <f>(E81-E82)</f>
        <v>-0.18</v>
      </c>
      <c r="F83" s="11">
        <f t="shared" ref="F83" si="11">(F81-F82)</f>
        <v>0.03</v>
      </c>
    </row>
    <row r="84" spans="2:6">
      <c r="B84" s="12"/>
      <c r="C84" s="11" t="s">
        <v>57</v>
      </c>
      <c r="D84" s="11">
        <f>((D81-D82)/D82)*100</f>
        <v>-4.6875000000000044</v>
      </c>
      <c r="E84" s="11">
        <f>((E81-E82)/E82)*100</f>
        <v>-40.909090909090907</v>
      </c>
      <c r="F84" s="11">
        <f>((F81-F82)/F82)*100</f>
        <v>-300</v>
      </c>
    </row>
    <row r="85" spans="2:6">
      <c r="B85" s="12" t="s">
        <v>58</v>
      </c>
      <c r="C85" s="12" t="s">
        <v>56</v>
      </c>
      <c r="D85" s="12">
        <v>-0.51</v>
      </c>
      <c r="E85" s="12">
        <v>0.22</v>
      </c>
      <c r="F85" s="12">
        <v>0.01</v>
      </c>
    </row>
    <row r="86" spans="2:6">
      <c r="B86" s="12"/>
      <c r="C86" s="12" t="s">
        <v>47</v>
      </c>
      <c r="D86" s="12">
        <v>-0.49</v>
      </c>
      <c r="E86" s="12">
        <v>0.32</v>
      </c>
      <c r="F86" s="12">
        <v>-0.01</v>
      </c>
    </row>
    <row r="87" spans="2:6">
      <c r="B87" s="12"/>
      <c r="C87" s="12" t="s">
        <v>50</v>
      </c>
      <c r="D87" s="11">
        <f>(D85-D86)</f>
        <v>-2.0000000000000018E-2</v>
      </c>
      <c r="E87" s="11">
        <f t="shared" ref="E87:F87" si="12">(E85-E86)</f>
        <v>-0.1</v>
      </c>
      <c r="F87" s="11">
        <f t="shared" si="12"/>
        <v>0.02</v>
      </c>
    </row>
    <row r="88" spans="2:6">
      <c r="B88" s="12"/>
      <c r="C88" s="11" t="s">
        <v>57</v>
      </c>
      <c r="D88" s="11">
        <f>((D85-D86)/D86)*100</f>
        <v>4.0816326530612281</v>
      </c>
      <c r="E88" s="11">
        <f>((E85-E86)/E86)*100</f>
        <v>-31.25</v>
      </c>
      <c r="F88" s="11">
        <f>((F85-F86)/F86)*100</f>
        <v>-200</v>
      </c>
    </row>
    <row r="89" spans="2:6">
      <c r="B89" s="12" t="s">
        <v>39</v>
      </c>
      <c r="C89" s="12" t="s">
        <v>56</v>
      </c>
      <c r="D89" s="12">
        <v>-0.65</v>
      </c>
      <c r="E89" s="12">
        <v>0.28999999999999998</v>
      </c>
      <c r="F89" s="12">
        <v>-0.06</v>
      </c>
    </row>
    <row r="90" spans="2:6">
      <c r="B90" s="12"/>
      <c r="C90" s="12" t="s">
        <v>47</v>
      </c>
      <c r="D90" s="12">
        <v>-0.65</v>
      </c>
      <c r="E90" s="12">
        <v>0.19</v>
      </c>
      <c r="F90" s="12">
        <v>-0.12</v>
      </c>
    </row>
    <row r="91" spans="2:6">
      <c r="B91" s="12"/>
      <c r="C91" s="12" t="s">
        <v>50</v>
      </c>
      <c r="D91" s="11">
        <f>(D89-D90)</f>
        <v>0</v>
      </c>
      <c r="E91" s="11">
        <f t="shared" ref="E91:F91" si="13">(E89-E90)</f>
        <v>9.9999999999999978E-2</v>
      </c>
      <c r="F91" s="11">
        <f t="shared" si="13"/>
        <v>0.06</v>
      </c>
    </row>
    <row r="92" spans="2:6">
      <c r="B92" s="12"/>
      <c r="C92" s="11" t="s">
        <v>57</v>
      </c>
      <c r="D92" s="11">
        <v>0</v>
      </c>
      <c r="E92" s="11">
        <f>((E89-E90)/E90)*100</f>
        <v>52.631578947368411</v>
      </c>
      <c r="F92" s="11">
        <f>((F89-F90)/F90)*100</f>
        <v>-50</v>
      </c>
    </row>
    <row r="93" spans="2:6">
      <c r="B93" s="12" t="s">
        <v>59</v>
      </c>
      <c r="C93" s="12" t="s">
        <v>56</v>
      </c>
      <c r="D93" s="12">
        <v>-0.65</v>
      </c>
      <c r="E93" s="12">
        <v>0.25</v>
      </c>
      <c r="F93" s="12">
        <v>-2E-3</v>
      </c>
    </row>
    <row r="94" spans="2:6">
      <c r="B94" s="12"/>
      <c r="C94" s="12" t="s">
        <v>47</v>
      </c>
      <c r="D94" s="12">
        <v>-0.59</v>
      </c>
      <c r="E94" s="12">
        <v>0.34</v>
      </c>
      <c r="F94" s="12">
        <v>-0.05</v>
      </c>
    </row>
    <row r="95" spans="2:6">
      <c r="B95" s="12"/>
      <c r="C95" s="12" t="s">
        <v>50</v>
      </c>
      <c r="D95" s="11">
        <f>(D93-D94)</f>
        <v>-6.0000000000000053E-2</v>
      </c>
      <c r="E95" s="11">
        <f t="shared" ref="E95:F95" si="14">(E93-E94)</f>
        <v>-9.0000000000000024E-2</v>
      </c>
      <c r="F95" s="11">
        <f t="shared" si="14"/>
        <v>4.8000000000000001E-2</v>
      </c>
    </row>
    <row r="96" spans="2:6">
      <c r="B96" s="12"/>
      <c r="C96" s="11" t="s">
        <v>57</v>
      </c>
      <c r="D96" s="11">
        <f>((D93-D94)/D94)*100</f>
        <v>10.169491525423737</v>
      </c>
      <c r="E96" s="11">
        <f t="shared" ref="E96:F96" si="15">((E93-E94)/E94)*100</f>
        <v>-26.470588235294123</v>
      </c>
      <c r="F96" s="11">
        <f t="shared" si="15"/>
        <v>-96</v>
      </c>
    </row>
    <row r="97" spans="2:6">
      <c r="B97" s="12" t="s">
        <v>60</v>
      </c>
      <c r="C97" s="12" t="s">
        <v>56</v>
      </c>
      <c r="D97" s="12">
        <v>-0.49</v>
      </c>
      <c r="E97" s="12">
        <v>0.23</v>
      </c>
      <c r="F97" s="12">
        <v>-2E-3</v>
      </c>
    </row>
    <row r="98" spans="2:6">
      <c r="B98" s="12"/>
      <c r="C98" s="12" t="s">
        <v>47</v>
      </c>
      <c r="D98" s="12">
        <v>-0.49</v>
      </c>
      <c r="E98" s="12">
        <v>0.36</v>
      </c>
      <c r="F98" s="12">
        <v>-0.04</v>
      </c>
    </row>
    <row r="99" spans="2:6">
      <c r="B99" s="12"/>
      <c r="C99" s="12" t="s">
        <v>50</v>
      </c>
      <c r="D99" s="11">
        <f>(D97-D98)</f>
        <v>0</v>
      </c>
      <c r="E99" s="11">
        <f t="shared" ref="E99:F99" si="16">(E97-E98)</f>
        <v>-0.12999999999999998</v>
      </c>
      <c r="F99" s="11">
        <f t="shared" si="16"/>
        <v>3.7999999999999999E-2</v>
      </c>
    </row>
    <row r="100" spans="2:6">
      <c r="D100" s="2">
        <v>0</v>
      </c>
      <c r="E100" s="2">
        <f>((E97-E98)/E98)*100</f>
        <v>-36.111111111111107</v>
      </c>
      <c r="F100" s="2">
        <f>((F97-F98)/F98)*100</f>
        <v>-95</v>
      </c>
    </row>
  </sheetData>
  <mergeCells count="3">
    <mergeCell ref="B2:F2"/>
    <mergeCell ref="H2:L2"/>
    <mergeCell ref="N2:R2"/>
  </mergeCells>
  <pageMargins left="0.7" right="0.7" top="0.75" bottom="0.75" header="0.3" footer="0.3"/>
  <pageSetup scale="37" orientation="portrait" horizontalDpi="300" verticalDpi="300" r:id="rId1"/>
  <rowBreaks count="1" manualBreakCount="1">
    <brk id="4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4"/>
  <sheetViews>
    <sheetView workbookViewId="0">
      <pane xSplit="2" ySplit="3" topLeftCell="D32" activePane="bottomRight" state="frozen"/>
      <selection pane="bottomRight" activeCell="S35" sqref="S35"/>
      <selection pane="bottomLeft" activeCell="A4" sqref="A4"/>
      <selection pane="topRight" activeCell="C1" sqref="C1"/>
    </sheetView>
  </sheetViews>
  <sheetFormatPr defaultColWidth="10.7109375" defaultRowHeight="14.45"/>
  <cols>
    <col min="1" max="16384" width="10.7109375" style="12"/>
  </cols>
  <sheetData>
    <row r="1" spans="1:17">
      <c r="A1" s="4"/>
    </row>
    <row r="2" spans="1:17">
      <c r="A2" s="4"/>
    </row>
    <row r="3" spans="1:17">
      <c r="A3" s="4"/>
      <c r="D3" s="26" t="s">
        <v>68</v>
      </c>
      <c r="E3" s="26"/>
      <c r="F3" s="11"/>
      <c r="G3" s="26" t="s">
        <v>37</v>
      </c>
      <c r="H3" s="26"/>
      <c r="I3" s="11"/>
      <c r="J3" s="26" t="s">
        <v>38</v>
      </c>
      <c r="K3" s="26"/>
      <c r="L3" s="11"/>
      <c r="M3" s="26" t="s">
        <v>39</v>
      </c>
      <c r="N3" s="26"/>
      <c r="O3" s="11"/>
      <c r="P3" s="26" t="s">
        <v>43</v>
      </c>
      <c r="Q3" s="26"/>
    </row>
    <row r="4" spans="1:17" ht="16.149999999999999">
      <c r="A4" s="4"/>
      <c r="D4" s="11" t="s">
        <v>69</v>
      </c>
      <c r="E4" s="11" t="s">
        <v>70</v>
      </c>
      <c r="F4" s="11"/>
      <c r="G4" s="11" t="s">
        <v>69</v>
      </c>
      <c r="H4" s="11" t="s">
        <v>70</v>
      </c>
      <c r="I4" s="11"/>
      <c r="J4" s="11" t="s">
        <v>69</v>
      </c>
      <c r="K4" s="11" t="s">
        <v>70</v>
      </c>
      <c r="L4" s="11"/>
      <c r="M4" s="11" t="s">
        <v>69</v>
      </c>
      <c r="N4" s="11" t="s">
        <v>70</v>
      </c>
      <c r="O4" s="11"/>
      <c r="P4" s="11" t="s">
        <v>69</v>
      </c>
      <c r="Q4" s="11" t="s">
        <v>70</v>
      </c>
    </row>
    <row r="5" spans="1:17">
      <c r="A5" s="4"/>
    </row>
    <row r="6" spans="1:17">
      <c r="A6" s="30" t="s">
        <v>71</v>
      </c>
      <c r="B6" s="11" t="s">
        <v>47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</row>
    <row r="7" spans="1:17">
      <c r="A7" s="30"/>
      <c r="B7" s="11" t="s">
        <v>56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spans="1:17">
      <c r="A8" s="30"/>
      <c r="B8" s="11" t="s">
        <v>49</v>
      </c>
      <c r="D8" s="13">
        <v>-0.50290765367546764</v>
      </c>
      <c r="E8" s="13">
        <v>0.25291610812536408</v>
      </c>
      <c r="F8" s="13"/>
      <c r="G8" s="13">
        <v>-0.80679791663679234</v>
      </c>
      <c r="H8" s="13">
        <v>0.65092287828946849</v>
      </c>
      <c r="I8" s="13"/>
      <c r="J8" s="13">
        <v>0.52514685298396924</v>
      </c>
      <c r="K8" s="13">
        <v>0.27577921719896659</v>
      </c>
      <c r="L8" s="13"/>
      <c r="M8" s="13">
        <v>-0.47209413256658306</v>
      </c>
      <c r="N8" s="13">
        <v>0.22287287000379449</v>
      </c>
      <c r="O8" s="13"/>
      <c r="P8" s="13">
        <v>0.80387624112148659</v>
      </c>
      <c r="Q8" s="13">
        <v>0.64621701103961049</v>
      </c>
    </row>
    <row r="9" spans="1:17">
      <c r="A9" s="6"/>
      <c r="B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</row>
    <row r="10" spans="1:17">
      <c r="A10" s="30" t="s">
        <v>72</v>
      </c>
      <c r="B10" s="11" t="s">
        <v>47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spans="1:17">
      <c r="A11" s="30"/>
      <c r="B11" s="11" t="s">
        <v>56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17">
      <c r="A12" s="30"/>
      <c r="B12" s="11" t="s">
        <v>49</v>
      </c>
      <c r="D12" s="13">
        <v>0.50258059473432959</v>
      </c>
      <c r="E12" s="13">
        <v>0.25258725420351241</v>
      </c>
      <c r="F12" s="13"/>
      <c r="G12" s="13">
        <v>0.95279575423267349</v>
      </c>
      <c r="H12" s="13">
        <v>0.90781974928380915</v>
      </c>
      <c r="I12" s="13"/>
      <c r="J12" s="13">
        <v>-0.65458513836461618</v>
      </c>
      <c r="K12" s="13">
        <v>0.42848170336782371</v>
      </c>
      <c r="L12" s="13"/>
      <c r="M12" s="13">
        <v>0.60687576989755598</v>
      </c>
      <c r="N12" s="13">
        <v>0.3682982000887513</v>
      </c>
      <c r="O12" s="13"/>
      <c r="P12" s="13">
        <v>-0.73599054407642306</v>
      </c>
      <c r="Q12" s="13">
        <v>0.54168208096990922</v>
      </c>
    </row>
    <row r="13" spans="1:17">
      <c r="A13" s="6"/>
      <c r="B13" s="11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spans="1:17">
      <c r="A14" s="30" t="s">
        <v>73</v>
      </c>
      <c r="B14" s="11" t="s">
        <v>47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spans="1:17">
      <c r="A15" s="30"/>
      <c r="B15" s="11" t="s">
        <v>56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 spans="1:17">
      <c r="A16" s="30"/>
      <c r="B16" s="11" t="s">
        <v>49</v>
      </c>
      <c r="D16" s="13">
        <v>0.41215958220525539</v>
      </c>
      <c r="E16" s="13">
        <v>0.16987552120361069</v>
      </c>
      <c r="F16" s="13"/>
      <c r="G16" s="13">
        <v>0.91607796367358851</v>
      </c>
      <c r="H16" s="13">
        <v>0.83919883552834851</v>
      </c>
      <c r="I16" s="13"/>
      <c r="J16" s="13">
        <v>-0.53103104231628051</v>
      </c>
      <c r="K16" s="13">
        <v>0.28199396790351527</v>
      </c>
      <c r="L16" s="13"/>
      <c r="M16" s="13">
        <v>0.33489855786788592</v>
      </c>
      <c r="N16" s="13">
        <v>0.11215704406198973</v>
      </c>
      <c r="O16" s="13"/>
      <c r="P16" s="13">
        <v>-0.8903736743099</v>
      </c>
      <c r="Q16" s="13">
        <v>0.79276527990411183</v>
      </c>
    </row>
    <row r="17" spans="1:17">
      <c r="A17" s="6"/>
      <c r="B17" s="11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17">
      <c r="A18" s="30" t="s">
        <v>74</v>
      </c>
      <c r="B18" s="11" t="s">
        <v>47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 spans="1:17">
      <c r="A19" s="30"/>
      <c r="B19" s="11" t="s">
        <v>56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>
      <c r="A20" s="30"/>
      <c r="B20" s="11" t="s">
        <v>49</v>
      </c>
      <c r="D20" s="13">
        <v>-0.52455939722221512</v>
      </c>
      <c r="E20" s="13">
        <v>0.27516256121413368</v>
      </c>
      <c r="F20" s="13"/>
      <c r="G20" s="13">
        <v>-0.69190823593025874</v>
      </c>
      <c r="H20" s="13">
        <v>0.4787370069481226</v>
      </c>
      <c r="I20" s="13"/>
      <c r="J20" s="13">
        <v>0.5447216398996193</v>
      </c>
      <c r="K20" s="13">
        <v>0.29672166497493052</v>
      </c>
      <c r="L20" s="13"/>
      <c r="M20" s="13">
        <v>-0.64721360343337675</v>
      </c>
      <c r="N20" s="13">
        <v>0.41888544846921627</v>
      </c>
      <c r="O20" s="13"/>
      <c r="P20" s="13">
        <v>0.79182028667776883</v>
      </c>
      <c r="Q20" s="13">
        <v>0.62697936639446405</v>
      </c>
    </row>
    <row r="21" spans="1:17">
      <c r="A21" s="6"/>
      <c r="B21" s="11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 spans="1:17">
      <c r="A22" s="30" t="s">
        <v>75</v>
      </c>
      <c r="B22" s="11" t="s">
        <v>47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 spans="1:17">
      <c r="A23" s="30"/>
      <c r="B23" s="11" t="s">
        <v>56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spans="1:17">
      <c r="A24" s="30"/>
      <c r="B24" s="11" t="s">
        <v>49</v>
      </c>
      <c r="D24" s="13">
        <v>-0.45009184583891965</v>
      </c>
      <c r="E24" s="13">
        <v>0.20258266969068581</v>
      </c>
      <c r="F24" s="13"/>
      <c r="G24" s="13">
        <v>-0.59021970450941363</v>
      </c>
      <c r="H24" s="13">
        <v>0.34835929959117956</v>
      </c>
      <c r="I24" s="13"/>
      <c r="J24" s="13">
        <v>-0.6825185540182398</v>
      </c>
      <c r="K24" s="13">
        <v>0.46583157657914892</v>
      </c>
      <c r="L24" s="13"/>
      <c r="M24" s="13">
        <v>4.5398144551229175E-2</v>
      </c>
      <c r="N24" s="13">
        <v>2.0609915286942991E-3</v>
      </c>
      <c r="O24" s="13"/>
      <c r="P24" s="13">
        <v>-0.71864093381502891</v>
      </c>
      <c r="Q24" s="13">
        <v>0.51644479175453673</v>
      </c>
    </row>
    <row r="25" spans="1:17">
      <c r="A25" s="6"/>
      <c r="B25" s="11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1:17">
      <c r="A26" s="30" t="s">
        <v>76</v>
      </c>
      <c r="B26" s="11" t="s">
        <v>47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1:17">
      <c r="A27" s="30"/>
      <c r="B27" s="11" t="s">
        <v>56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 spans="1:17">
      <c r="A28" s="30"/>
      <c r="B28" s="11" t="s">
        <v>49</v>
      </c>
      <c r="D28" s="13">
        <v>0.99998953732106766</v>
      </c>
      <c r="E28" s="13">
        <v>0.99997907475160297</v>
      </c>
      <c r="F28" s="13"/>
      <c r="G28" s="13">
        <v>0.99995014192391285</v>
      </c>
      <c r="H28" s="13">
        <v>0.99990028633365347</v>
      </c>
      <c r="I28" s="13"/>
      <c r="J28" s="13">
        <v>0.99998638240613613</v>
      </c>
      <c r="K28" s="13">
        <v>0.99997276499771115</v>
      </c>
      <c r="L28" s="13"/>
      <c r="M28" s="13">
        <v>0.99995901963771194</v>
      </c>
      <c r="N28" s="13">
        <v>0.99991804095481396</v>
      </c>
      <c r="O28" s="13"/>
      <c r="P28" s="13">
        <v>0.99997337032738565</v>
      </c>
      <c r="Q28" s="13">
        <v>0.99994674136391071</v>
      </c>
    </row>
    <row r="29" spans="1:17">
      <c r="A29" s="6"/>
      <c r="B29" s="11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 spans="1:17">
      <c r="A30" s="27" t="s">
        <v>77</v>
      </c>
      <c r="B30" s="11" t="s">
        <v>47</v>
      </c>
      <c r="D30" s="13">
        <f>CORREL('New city'!O3:O14,'New city'!P3:P14)</f>
        <v>-0.97952377192647899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 spans="1:17">
      <c r="A31" s="27"/>
      <c r="B31" s="11" t="s">
        <v>56</v>
      </c>
      <c r="D31" s="13">
        <f>CORREL('Old city'!O2:O13,'Old city'!P2:P13)</f>
        <v>-0.94866101484895027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</row>
    <row r="32" spans="1:17">
      <c r="A32" s="27"/>
      <c r="B32" s="11" t="s">
        <v>49</v>
      </c>
      <c r="D32" s="13">
        <v>-0.97017496899348443</v>
      </c>
      <c r="E32" s="13">
        <v>0.94123947046150847</v>
      </c>
      <c r="F32" s="13"/>
      <c r="G32" s="13">
        <v>-0.94415343946501351</v>
      </c>
      <c r="H32" s="13"/>
      <c r="I32" s="13"/>
      <c r="J32" s="13">
        <v>-0.15986732335589388</v>
      </c>
      <c r="K32" s="13"/>
      <c r="L32" s="13"/>
      <c r="M32" s="13">
        <v>-0.94073406884870303</v>
      </c>
      <c r="N32" s="13"/>
      <c r="O32" s="13"/>
      <c r="P32" s="13">
        <v>-0.96795436584080596</v>
      </c>
      <c r="Q32" s="13"/>
    </row>
    <row r="33" spans="1:17">
      <c r="A33" s="6"/>
      <c r="B33" s="11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 spans="1:17">
      <c r="A34" s="6"/>
      <c r="B34" s="11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 spans="1:17">
      <c r="A35" s="6"/>
      <c r="B35" s="11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</row>
    <row r="36" spans="1:17">
      <c r="A36" s="27" t="s">
        <v>78</v>
      </c>
      <c r="B36" s="11" t="s">
        <v>47</v>
      </c>
      <c r="D36" s="28">
        <v>29.910604475922</v>
      </c>
      <c r="E36" s="28"/>
      <c r="F36" s="23"/>
      <c r="G36" s="28">
        <v>25.594780089322299</v>
      </c>
      <c r="H36" s="28"/>
      <c r="I36" s="23"/>
      <c r="J36" s="28">
        <v>39.435128882872597</v>
      </c>
      <c r="K36" s="28"/>
      <c r="L36" s="24"/>
      <c r="M36" s="28">
        <v>26.283996672195901</v>
      </c>
      <c r="N36" s="28"/>
      <c r="O36" s="23"/>
      <c r="P36" s="28">
        <v>29.6500460127981</v>
      </c>
      <c r="Q36" s="28"/>
    </row>
    <row r="37" spans="1:17">
      <c r="A37" s="27"/>
      <c r="B37" s="11" t="s">
        <v>56</v>
      </c>
      <c r="D37" s="28">
        <v>30.4614214013124</v>
      </c>
      <c r="E37" s="28"/>
      <c r="F37" s="23"/>
      <c r="G37" s="28">
        <v>25.903654580754001</v>
      </c>
      <c r="H37" s="28"/>
      <c r="I37" s="23"/>
      <c r="J37" s="28">
        <v>40.317884253909902</v>
      </c>
      <c r="K37" s="28"/>
      <c r="L37" s="23"/>
      <c r="M37" s="28">
        <v>27.026389323525301</v>
      </c>
      <c r="N37" s="28"/>
      <c r="O37" s="23"/>
      <c r="P37" s="28">
        <v>30.226520903186898</v>
      </c>
      <c r="Q37" s="28"/>
    </row>
    <row r="38" spans="1:17">
      <c r="A38" s="27"/>
      <c r="B38" s="11" t="s">
        <v>49</v>
      </c>
      <c r="D38" s="28">
        <v>30.1506424816947</v>
      </c>
      <c r="E38" s="28"/>
      <c r="F38" s="23"/>
      <c r="G38" s="28">
        <v>25.7097533311928</v>
      </c>
      <c r="H38" s="28"/>
      <c r="I38" s="23"/>
      <c r="J38" s="28">
        <v>39.934358547924198</v>
      </c>
      <c r="K38" s="28"/>
      <c r="L38" s="23"/>
      <c r="M38" s="28">
        <v>26.657746495151802</v>
      </c>
      <c r="N38" s="28"/>
      <c r="O38" s="23"/>
      <c r="P38" s="28">
        <v>29.914011986402599</v>
      </c>
      <c r="Q38" s="28"/>
    </row>
    <row r="39" spans="1:17">
      <c r="A39" s="6"/>
      <c r="B39" s="11" t="s">
        <v>50</v>
      </c>
      <c r="D39" s="29">
        <f>D37-D36</f>
        <v>0.55081692539040006</v>
      </c>
      <c r="E39" s="29"/>
      <c r="F39" s="24"/>
      <c r="G39" s="29">
        <f>G37-G36</f>
        <v>0.30887449143170187</v>
      </c>
      <c r="H39" s="29"/>
      <c r="I39" s="24"/>
      <c r="J39" s="29">
        <f t="shared" ref="J39:P39" si="0">J37-J36</f>
        <v>0.88275537103730528</v>
      </c>
      <c r="K39" s="29"/>
      <c r="L39" s="24"/>
      <c r="M39" s="29">
        <f t="shared" si="0"/>
        <v>0.74239265132939991</v>
      </c>
      <c r="N39" s="29"/>
      <c r="O39" s="24"/>
      <c r="P39" s="29">
        <f t="shared" si="0"/>
        <v>0.5764748903887984</v>
      </c>
      <c r="Q39" s="29"/>
    </row>
    <row r="40" spans="1:17">
      <c r="A40" s="6"/>
      <c r="B40" s="11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 spans="1:17">
      <c r="A41" s="27" t="s">
        <v>79</v>
      </c>
      <c r="B41" s="11" t="s">
        <v>47</v>
      </c>
      <c r="D41" s="31">
        <v>302.10000000004402</v>
      </c>
      <c r="E41" s="31"/>
      <c r="F41" s="13"/>
      <c r="G41" s="31">
        <v>297.796854939821</v>
      </c>
      <c r="H41" s="31"/>
      <c r="I41" s="13"/>
      <c r="J41" s="31">
        <v>311.54915825472699</v>
      </c>
      <c r="K41" s="31"/>
      <c r="L41" s="13"/>
      <c r="M41" s="31">
        <v>298.51367969544799</v>
      </c>
      <c r="N41" s="31"/>
      <c r="O41" s="13"/>
      <c r="P41" s="31">
        <v>301.89999999993501</v>
      </c>
      <c r="Q41" s="31"/>
    </row>
    <row r="42" spans="1:17">
      <c r="A42" s="27"/>
      <c r="B42" s="11" t="s">
        <v>56</v>
      </c>
      <c r="D42" s="31">
        <v>302.60000000003498</v>
      </c>
      <c r="E42" s="31"/>
      <c r="F42" s="13"/>
      <c r="G42" s="31">
        <v>298.10000000003299</v>
      </c>
      <c r="H42" s="31"/>
      <c r="I42" s="13"/>
      <c r="J42" s="31">
        <v>312.41151187410702</v>
      </c>
      <c r="K42" s="31"/>
      <c r="L42" s="13"/>
      <c r="M42" s="31">
        <v>299.19999999996998</v>
      </c>
      <c r="N42" s="31"/>
      <c r="O42" s="13"/>
      <c r="P42" s="31">
        <v>302.39999999994302</v>
      </c>
      <c r="Q42" s="31"/>
    </row>
    <row r="43" spans="1:17">
      <c r="A43" s="27"/>
      <c r="B43" s="11" t="s">
        <v>49</v>
      </c>
      <c r="D43" s="31">
        <v>302.39999999993802</v>
      </c>
      <c r="E43" s="31"/>
      <c r="F43" s="13"/>
      <c r="G43" s="31">
        <v>298.00489101658297</v>
      </c>
      <c r="H43" s="31"/>
      <c r="I43" s="13"/>
      <c r="J43" s="31">
        <v>312.04971822030001</v>
      </c>
      <c r="K43" s="31"/>
      <c r="L43" s="13"/>
      <c r="M43" s="31">
        <v>298.89999999994302</v>
      </c>
      <c r="N43" s="31"/>
      <c r="O43" s="13"/>
      <c r="P43" s="31">
        <v>302.09999999989299</v>
      </c>
      <c r="Q43" s="31"/>
    </row>
    <row r="44" spans="1:17">
      <c r="A44" s="6"/>
      <c r="B44" s="11" t="s">
        <v>50</v>
      </c>
      <c r="D44" s="27">
        <f>D42-D41</f>
        <v>0.4999999999909619</v>
      </c>
      <c r="E44" s="27"/>
      <c r="F44" s="9"/>
      <c r="G44" s="27">
        <f>G42-G41</f>
        <v>0.30314506021198895</v>
      </c>
      <c r="H44" s="27"/>
      <c r="I44" s="9"/>
      <c r="J44" s="27">
        <f t="shared" ref="J44:M44" si="1">J42-J41</f>
        <v>0.86235361938003052</v>
      </c>
      <c r="K44" s="27"/>
      <c r="L44" s="9"/>
      <c r="M44" s="27">
        <f t="shared" si="1"/>
        <v>0.68632030452198478</v>
      </c>
      <c r="N44" s="27"/>
      <c r="O44" s="9"/>
      <c r="P44" s="27">
        <f>P42-P41</f>
        <v>0.50000000000801492</v>
      </c>
      <c r="Q44" s="27"/>
    </row>
    <row r="45" spans="1:17">
      <c r="A45" s="6"/>
      <c r="B45" s="11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</row>
    <row r="46" spans="1:17">
      <c r="A46" s="27" t="s">
        <v>64</v>
      </c>
      <c r="B46" s="11" t="s">
        <v>47</v>
      </c>
      <c r="D46" s="31">
        <v>0.31639709493085499</v>
      </c>
      <c r="E46" s="31"/>
      <c r="F46" s="13"/>
      <c r="G46" s="31">
        <v>0.26945634848628902</v>
      </c>
      <c r="H46" s="31"/>
      <c r="I46" s="13"/>
      <c r="J46" s="31">
        <v>0.26171647842398599</v>
      </c>
      <c r="K46" s="31"/>
      <c r="L46" s="13"/>
      <c r="M46" s="31">
        <v>0.42577349097177503</v>
      </c>
      <c r="N46" s="31"/>
      <c r="O46" s="13"/>
      <c r="P46" s="31">
        <v>0.347662857982169</v>
      </c>
      <c r="Q46" s="31"/>
    </row>
    <row r="47" spans="1:17">
      <c r="A47" s="27"/>
      <c r="B47" s="11" t="s">
        <v>56</v>
      </c>
      <c r="D47" s="31">
        <v>0.228504458180016</v>
      </c>
      <c r="E47" s="31"/>
      <c r="F47" s="13"/>
      <c r="G47" s="31">
        <v>0.191441608587469</v>
      </c>
      <c r="H47" s="31"/>
      <c r="I47" s="13"/>
      <c r="J47" s="31">
        <v>0.20119411111549201</v>
      </c>
      <c r="K47" s="31"/>
      <c r="L47" s="13"/>
      <c r="M47" s="31">
        <v>0.30856181855130499</v>
      </c>
      <c r="N47" s="31"/>
      <c r="O47" s="13"/>
      <c r="P47" s="31">
        <v>0.24605404355524399</v>
      </c>
      <c r="Q47" s="31"/>
    </row>
    <row r="48" spans="1:17">
      <c r="A48" s="27"/>
      <c r="B48" s="11" t="s">
        <v>49</v>
      </c>
      <c r="D48" s="31">
        <v>0.26949448895113898</v>
      </c>
      <c r="E48" s="31"/>
      <c r="F48" s="13"/>
      <c r="G48" s="31">
        <v>0.23042476271106299</v>
      </c>
      <c r="H48" s="31"/>
      <c r="I48" s="13"/>
      <c r="J48" s="31">
        <v>0.23044613421933799</v>
      </c>
      <c r="K48" s="31"/>
      <c r="L48" s="13"/>
      <c r="M48" s="31">
        <v>0.37103082201912402</v>
      </c>
      <c r="N48" s="31"/>
      <c r="O48" s="13"/>
      <c r="P48" s="31">
        <v>0.29293396740357802</v>
      </c>
      <c r="Q48" s="31"/>
    </row>
    <row r="49" spans="1:17">
      <c r="A49" s="6"/>
      <c r="B49" s="11" t="s">
        <v>50</v>
      </c>
      <c r="D49" s="27">
        <f>D47-D46</f>
        <v>-8.7892636750838998E-2</v>
      </c>
      <c r="E49" s="27"/>
      <c r="F49" s="9"/>
      <c r="G49" s="27">
        <f t="shared" ref="G49:P49" si="2">G47-G46</f>
        <v>-7.8014739898820018E-2</v>
      </c>
      <c r="H49" s="27"/>
      <c r="I49" s="9"/>
      <c r="J49" s="27">
        <f t="shared" si="2"/>
        <v>-6.0522367308493974E-2</v>
      </c>
      <c r="K49" s="27"/>
      <c r="L49" s="9"/>
      <c r="M49" s="27">
        <f t="shared" si="2"/>
        <v>-0.11721167242047004</v>
      </c>
      <c r="N49" s="27"/>
      <c r="O49" s="9"/>
      <c r="P49" s="27">
        <f t="shared" si="2"/>
        <v>-0.10160881442692501</v>
      </c>
      <c r="Q49" s="27"/>
    </row>
    <row r="50" spans="1:17">
      <c r="A50" s="6"/>
      <c r="B50" s="11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spans="1:17">
      <c r="A51" s="27" t="s">
        <v>67</v>
      </c>
      <c r="B51" s="11" t="s">
        <v>47</v>
      </c>
      <c r="D51" s="31">
        <v>-4.0992022494926103E-2</v>
      </c>
      <c r="E51" s="31"/>
      <c r="F51" s="13"/>
      <c r="G51" s="31">
        <v>-1.16795989597349E-2</v>
      </c>
      <c r="H51" s="31"/>
      <c r="I51" s="13"/>
      <c r="J51" s="31">
        <v>-1.36699217364667E-2</v>
      </c>
      <c r="K51" s="31"/>
      <c r="L51" s="13"/>
      <c r="M51" s="31">
        <v>-0.12307379491408001</v>
      </c>
      <c r="N51" s="31"/>
      <c r="O51" s="13"/>
      <c r="P51" s="31">
        <v>-4.8826384547335802E-2</v>
      </c>
      <c r="Q51" s="31"/>
    </row>
    <row r="52" spans="1:17">
      <c r="A52" s="27"/>
      <c r="B52" s="11" t="s">
        <v>56</v>
      </c>
      <c r="D52" s="31">
        <v>-1.96486300923783E-3</v>
      </c>
      <c r="E52" s="31"/>
      <c r="F52" s="13"/>
      <c r="G52" s="31">
        <v>1.76108951810925E-2</v>
      </c>
      <c r="H52" s="31"/>
      <c r="I52" s="13"/>
      <c r="J52" s="31">
        <v>9.7970818473269404E-3</v>
      </c>
      <c r="K52" s="31"/>
      <c r="L52" s="13"/>
      <c r="M52" s="31">
        <v>-6.0543244821571598E-2</v>
      </c>
      <c r="N52" s="31"/>
      <c r="O52" s="13"/>
      <c r="P52" s="31">
        <v>-1.9932913913485398E-3</v>
      </c>
      <c r="Q52" s="31"/>
    </row>
    <row r="53" spans="1:17">
      <c r="A53" s="27"/>
      <c r="B53" s="11" t="s">
        <v>49</v>
      </c>
      <c r="D53" s="31">
        <v>-2.1459366047189499E-2</v>
      </c>
      <c r="E53" s="31"/>
      <c r="F53" s="13"/>
      <c r="G53" s="31">
        <v>3.9275884690381201E-3</v>
      </c>
      <c r="H53" s="31"/>
      <c r="I53" s="13"/>
      <c r="J53" s="31">
        <v>-1.9665979263852199E-3</v>
      </c>
      <c r="K53" s="31"/>
      <c r="L53" s="13"/>
      <c r="M53" s="31">
        <v>-9.1778707747315197E-2</v>
      </c>
      <c r="N53" s="31"/>
      <c r="O53" s="13"/>
      <c r="P53" s="31">
        <v>-2.5379851938654201E-2</v>
      </c>
      <c r="Q53" s="31"/>
    </row>
    <row r="54" spans="1:17">
      <c r="A54" s="6"/>
      <c r="B54" s="11" t="s">
        <v>50</v>
      </c>
      <c r="D54" s="27">
        <f>D52-D51</f>
        <v>3.9027159485688273E-2</v>
      </c>
      <c r="E54" s="27"/>
      <c r="F54" s="9"/>
      <c r="G54" s="27">
        <f t="shared" ref="G54:P54" si="3">G52-G51</f>
        <v>2.9290494140827399E-2</v>
      </c>
      <c r="H54" s="27"/>
      <c r="I54" s="9"/>
      <c r="J54" s="27">
        <f t="shared" si="3"/>
        <v>2.3467003583793639E-2</v>
      </c>
      <c r="K54" s="27"/>
      <c r="L54" s="9"/>
      <c r="M54" s="27">
        <f t="shared" si="3"/>
        <v>6.2530550092508408E-2</v>
      </c>
      <c r="N54" s="27"/>
      <c r="O54" s="9"/>
      <c r="P54" s="27">
        <f t="shared" si="3"/>
        <v>4.6833093155987264E-2</v>
      </c>
      <c r="Q54" s="27"/>
    </row>
    <row r="55" spans="1:17">
      <c r="A55" s="6"/>
      <c r="B55" s="11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</row>
    <row r="56" spans="1:17">
      <c r="A56" s="27" t="s">
        <v>80</v>
      </c>
      <c r="B56" s="11" t="s">
        <v>47</v>
      </c>
      <c r="D56" s="31">
        <v>-0.33985066692360599</v>
      </c>
      <c r="E56" s="31"/>
      <c r="F56" s="13"/>
      <c r="G56" s="31">
        <v>-0.33203056670000802</v>
      </c>
      <c r="H56" s="31"/>
      <c r="I56" s="13"/>
      <c r="J56" s="31">
        <v>-0.33202998643505499</v>
      </c>
      <c r="K56" s="31"/>
      <c r="L56" s="13"/>
      <c r="M56" s="31">
        <v>-0.33204715280079899</v>
      </c>
      <c r="N56" s="31"/>
      <c r="O56" s="13"/>
      <c r="P56" s="31">
        <v>-0.34762000455554798</v>
      </c>
      <c r="Q56" s="31"/>
    </row>
    <row r="57" spans="1:17">
      <c r="A57" s="27"/>
      <c r="B57" s="11" t="s">
        <v>56</v>
      </c>
      <c r="D57" s="31">
        <v>-0.30073552748069698</v>
      </c>
      <c r="E57" s="31"/>
      <c r="F57" s="13"/>
      <c r="G57" s="31">
        <v>-0.285137769519625</v>
      </c>
      <c r="H57" s="31"/>
      <c r="I57" s="13"/>
      <c r="J57" s="31">
        <v>-0.29286793114726001</v>
      </c>
      <c r="K57" s="31"/>
      <c r="L57" s="13"/>
      <c r="M57" s="31">
        <v>-0.29297848255873299</v>
      </c>
      <c r="N57" s="31"/>
      <c r="O57" s="13"/>
      <c r="P57" s="31">
        <v>-0.30072397551998897</v>
      </c>
      <c r="Q57" s="31"/>
    </row>
    <row r="58" spans="1:17">
      <c r="A58" s="27"/>
      <c r="B58" s="11" t="s">
        <v>49</v>
      </c>
      <c r="D58" s="31">
        <v>-0.33788642938529501</v>
      </c>
      <c r="E58" s="31"/>
      <c r="F58" s="13"/>
      <c r="G58" s="31">
        <v>-0.30075856757033598</v>
      </c>
      <c r="H58" s="31"/>
      <c r="I58" s="13"/>
      <c r="J58" s="31">
        <v>-0.31638638508571498</v>
      </c>
      <c r="K58" s="31"/>
      <c r="L58" s="13"/>
      <c r="M58" s="31">
        <v>-0.386704237415747</v>
      </c>
      <c r="N58" s="31"/>
      <c r="O58" s="13"/>
      <c r="P58" s="31">
        <v>-0.34767978880862899</v>
      </c>
      <c r="Q58" s="31"/>
    </row>
    <row r="59" spans="1:17">
      <c r="A59" s="6"/>
      <c r="B59" s="11" t="s">
        <v>50</v>
      </c>
      <c r="D59" s="27">
        <f>D57-D56</f>
        <v>3.9115139442909008E-2</v>
      </c>
      <c r="E59" s="27"/>
      <c r="F59" s="9"/>
      <c r="G59" s="27">
        <f t="shared" ref="G59:P59" si="4">G57-G56</f>
        <v>4.6892797180383028E-2</v>
      </c>
      <c r="H59" s="27"/>
      <c r="I59" s="9"/>
      <c r="J59" s="27">
        <f t="shared" si="4"/>
        <v>3.9162055287794983E-2</v>
      </c>
      <c r="K59" s="27"/>
      <c r="L59" s="9"/>
      <c r="M59" s="27">
        <f t="shared" si="4"/>
        <v>3.9068670242066006E-2</v>
      </c>
      <c r="N59" s="27"/>
      <c r="O59" s="9"/>
      <c r="P59" s="27">
        <f t="shared" si="4"/>
        <v>4.6896029035559006E-2</v>
      </c>
      <c r="Q59" s="27"/>
    </row>
    <row r="60" spans="1:17">
      <c r="A60" s="6"/>
      <c r="B60" s="11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</row>
    <row r="61" spans="1:17">
      <c r="A61" s="27" t="s">
        <v>81</v>
      </c>
      <c r="B61" s="11" t="s">
        <v>47</v>
      </c>
      <c r="D61" s="31">
        <v>0.17572119648477699</v>
      </c>
      <c r="E61" s="31"/>
      <c r="F61" s="13"/>
      <c r="G61" s="31">
        <v>0.12110101821275999</v>
      </c>
      <c r="H61" s="31"/>
      <c r="I61" s="13"/>
      <c r="J61" s="31">
        <v>0.12304671140062801</v>
      </c>
      <c r="K61" s="31"/>
      <c r="L61" s="13"/>
      <c r="M61" s="31">
        <v>0.31836123716085102</v>
      </c>
      <c r="N61" s="31"/>
      <c r="O61" s="13"/>
      <c r="P61" s="31">
        <v>0.19139958381783601</v>
      </c>
      <c r="Q61" s="31"/>
    </row>
    <row r="62" spans="1:17">
      <c r="A62" s="27"/>
      <c r="B62" s="11" t="s">
        <v>56</v>
      </c>
      <c r="D62" s="31">
        <v>9.9583033418828196E-2</v>
      </c>
      <c r="E62" s="31"/>
      <c r="F62" s="13"/>
      <c r="G62" s="31">
        <v>5.6616471416024002E-2</v>
      </c>
      <c r="H62" s="31"/>
      <c r="I62" s="13"/>
      <c r="J62" s="31">
        <v>7.2249036731197203E-2</v>
      </c>
      <c r="K62" s="31"/>
      <c r="L62" s="13"/>
      <c r="M62" s="31">
        <v>0.206994545819953</v>
      </c>
      <c r="N62" s="31"/>
      <c r="O62" s="13"/>
      <c r="P62" s="31">
        <v>0.105443084387074</v>
      </c>
      <c r="Q62" s="31"/>
    </row>
    <row r="63" spans="1:17">
      <c r="A63" s="27"/>
      <c r="B63" s="11" t="s">
        <v>49</v>
      </c>
      <c r="D63" s="31">
        <v>0.13669645294517699</v>
      </c>
      <c r="E63" s="31"/>
      <c r="F63" s="13"/>
      <c r="G63" s="31">
        <v>8.9831392524889697E-2</v>
      </c>
      <c r="H63" s="31"/>
      <c r="I63" s="13"/>
      <c r="J63" s="31">
        <v>9.7630428627142204E-2</v>
      </c>
      <c r="K63" s="31"/>
      <c r="L63" s="13"/>
      <c r="M63" s="31">
        <v>0.26949787924886798</v>
      </c>
      <c r="N63" s="31"/>
      <c r="O63" s="13"/>
      <c r="P63" s="31">
        <v>0.152338354343178</v>
      </c>
      <c r="Q63" s="31"/>
    </row>
    <row r="64" spans="1:17">
      <c r="B64" s="11" t="s">
        <v>50</v>
      </c>
      <c r="D64" s="27">
        <f>D62-D61</f>
        <v>-7.6138163065948797E-2</v>
      </c>
      <c r="E64" s="27"/>
      <c r="F64" s="9"/>
      <c r="G64" s="27">
        <f t="shared" ref="G64:P64" si="5">G62-G61</f>
        <v>-6.4484546796735986E-2</v>
      </c>
      <c r="H64" s="27"/>
      <c r="I64" s="9"/>
      <c r="J64" s="27">
        <f t="shared" si="5"/>
        <v>-5.0797674669430803E-2</v>
      </c>
      <c r="K64" s="27"/>
      <c r="L64" s="9"/>
      <c r="M64" s="27">
        <f t="shared" si="5"/>
        <v>-0.11136669134089802</v>
      </c>
      <c r="N64" s="27"/>
      <c r="O64" s="9"/>
      <c r="P64" s="27">
        <f t="shared" si="5"/>
        <v>-8.5956499430762001E-2</v>
      </c>
      <c r="Q64" s="27"/>
    </row>
  </sheetData>
  <mergeCells count="138">
    <mergeCell ref="D54:E54"/>
    <mergeCell ref="D59:E59"/>
    <mergeCell ref="D57:E57"/>
    <mergeCell ref="D58:E58"/>
    <mergeCell ref="D61:E61"/>
    <mergeCell ref="D62:E62"/>
    <mergeCell ref="D63:E63"/>
    <mergeCell ref="D48:E48"/>
    <mergeCell ref="D51:E51"/>
    <mergeCell ref="D52:E52"/>
    <mergeCell ref="D53:E53"/>
    <mergeCell ref="D56:E56"/>
    <mergeCell ref="D64:E64"/>
    <mergeCell ref="G64:H64"/>
    <mergeCell ref="J64:K64"/>
    <mergeCell ref="M64:N64"/>
    <mergeCell ref="P59:Q59"/>
    <mergeCell ref="M59:N59"/>
    <mergeCell ref="J59:K59"/>
    <mergeCell ref="G59:H59"/>
    <mergeCell ref="P64:Q64"/>
    <mergeCell ref="M62:N62"/>
    <mergeCell ref="M63:N63"/>
    <mergeCell ref="P63:Q63"/>
    <mergeCell ref="P62:Q62"/>
    <mergeCell ref="P61:Q61"/>
    <mergeCell ref="G62:H62"/>
    <mergeCell ref="G63:H63"/>
    <mergeCell ref="J63:K63"/>
    <mergeCell ref="J62:K62"/>
    <mergeCell ref="M61:N61"/>
    <mergeCell ref="G61:H61"/>
    <mergeCell ref="J51:K51"/>
    <mergeCell ref="J48:K48"/>
    <mergeCell ref="J47:K47"/>
    <mergeCell ref="J49:K49"/>
    <mergeCell ref="J61:K61"/>
    <mergeCell ref="P51:Q51"/>
    <mergeCell ref="P48:Q48"/>
    <mergeCell ref="P47:Q47"/>
    <mergeCell ref="P49:Q49"/>
    <mergeCell ref="M47:N47"/>
    <mergeCell ref="M48:N48"/>
    <mergeCell ref="M51:N51"/>
    <mergeCell ref="M49:N49"/>
    <mergeCell ref="P58:Q58"/>
    <mergeCell ref="P57:Q57"/>
    <mergeCell ref="P56:Q56"/>
    <mergeCell ref="P53:Q53"/>
    <mergeCell ref="P52:Q52"/>
    <mergeCell ref="P54:Q54"/>
    <mergeCell ref="M52:N52"/>
    <mergeCell ref="J58:K58"/>
    <mergeCell ref="J57:K57"/>
    <mergeCell ref="J56:K56"/>
    <mergeCell ref="J53:K53"/>
    <mergeCell ref="J52:K52"/>
    <mergeCell ref="J54:K54"/>
    <mergeCell ref="M53:N53"/>
    <mergeCell ref="M56:N56"/>
    <mergeCell ref="M57:N57"/>
    <mergeCell ref="M58:N58"/>
    <mergeCell ref="G53:H53"/>
    <mergeCell ref="G56:H56"/>
    <mergeCell ref="G57:H57"/>
    <mergeCell ref="G58:H58"/>
    <mergeCell ref="G54:H54"/>
    <mergeCell ref="M54:N54"/>
    <mergeCell ref="A61:A63"/>
    <mergeCell ref="A56:A58"/>
    <mergeCell ref="A51:A53"/>
    <mergeCell ref="G51:H51"/>
    <mergeCell ref="G52:H52"/>
    <mergeCell ref="A46:A48"/>
    <mergeCell ref="A41:A43"/>
    <mergeCell ref="P36:Q36"/>
    <mergeCell ref="P37:Q37"/>
    <mergeCell ref="P38:Q38"/>
    <mergeCell ref="G36:H36"/>
    <mergeCell ref="G37:H37"/>
    <mergeCell ref="G38:H38"/>
    <mergeCell ref="J36:K36"/>
    <mergeCell ref="J37:K37"/>
    <mergeCell ref="J38:K38"/>
    <mergeCell ref="G46:H46"/>
    <mergeCell ref="G47:H47"/>
    <mergeCell ref="G48:H48"/>
    <mergeCell ref="P46:Q46"/>
    <mergeCell ref="P43:Q43"/>
    <mergeCell ref="M46:N46"/>
    <mergeCell ref="D41:E41"/>
    <mergeCell ref="D42:E42"/>
    <mergeCell ref="D43:E43"/>
    <mergeCell ref="D46:E46"/>
    <mergeCell ref="D47:E47"/>
    <mergeCell ref="P42:Q42"/>
    <mergeCell ref="P41:Q41"/>
    <mergeCell ref="G49:H49"/>
    <mergeCell ref="M36:N36"/>
    <mergeCell ref="M37:N37"/>
    <mergeCell ref="M38:N38"/>
    <mergeCell ref="G39:H39"/>
    <mergeCell ref="J46:K46"/>
    <mergeCell ref="D49:E49"/>
    <mergeCell ref="P3:Q3"/>
    <mergeCell ref="M3:N3"/>
    <mergeCell ref="J3:K3"/>
    <mergeCell ref="G3:H3"/>
    <mergeCell ref="G41:H41"/>
    <mergeCell ref="G42:H42"/>
    <mergeCell ref="G43:H43"/>
    <mergeCell ref="J42:K42"/>
    <mergeCell ref="J41:K41"/>
    <mergeCell ref="J43:K43"/>
    <mergeCell ref="D3:E3"/>
    <mergeCell ref="A36:A38"/>
    <mergeCell ref="D36:E36"/>
    <mergeCell ref="D37:E37"/>
    <mergeCell ref="D38:E38"/>
    <mergeCell ref="A30:A32"/>
    <mergeCell ref="P39:Q39"/>
    <mergeCell ref="P44:Q44"/>
    <mergeCell ref="M44:N44"/>
    <mergeCell ref="J44:K44"/>
    <mergeCell ref="G44:H44"/>
    <mergeCell ref="A22:A24"/>
    <mergeCell ref="A26:A28"/>
    <mergeCell ref="A6:A8"/>
    <mergeCell ref="A10:A12"/>
    <mergeCell ref="A14:A16"/>
    <mergeCell ref="A18:A20"/>
    <mergeCell ref="J39:K39"/>
    <mergeCell ref="M39:N39"/>
    <mergeCell ref="M41:N41"/>
    <mergeCell ref="M42:N42"/>
    <mergeCell ref="M43:N43"/>
    <mergeCell ref="D39:E39"/>
    <mergeCell ref="D44:E44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CA179-2D47-436F-AC4C-2BF0DCB32819}">
  <dimension ref="A1:C3"/>
  <sheetViews>
    <sheetView workbookViewId="0"/>
  </sheetViews>
  <sheetFormatPr defaultRowHeight="14.45"/>
  <sheetData>
    <row r="1" spans="1:3">
      <c r="A1" t="s">
        <v>82</v>
      </c>
    </row>
    <row r="2" spans="1:3" ht="409.6">
      <c r="B2" t="s">
        <v>83</v>
      </c>
      <c r="C2" s="22" t="s">
        <v>84</v>
      </c>
    </row>
    <row r="3" spans="1:3">
      <c r="B3" t="s">
        <v>85</v>
      </c>
      <c r="C3" t="s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S133"/>
  <sheetViews>
    <sheetView topLeftCell="C142" zoomScale="55" zoomScaleNormal="55" workbookViewId="0">
      <selection activeCell="AX78" sqref="AX78"/>
    </sheetView>
  </sheetViews>
  <sheetFormatPr defaultRowHeight="14.45"/>
  <sheetData>
    <row r="133" spans="19:19">
      <c r="S133" t="s">
        <v>87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DAD36-C40D-4E69-99E4-23B57D5D7008}">
  <dimension ref="A1"/>
  <sheetViews>
    <sheetView tabSelected="1" topLeftCell="E37" zoomScale="85" zoomScaleNormal="85" workbookViewId="0">
      <selection activeCell="AE67" sqref="AE67"/>
    </sheetView>
  </sheetViews>
  <sheetFormatPr defaultRowHeight="14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Divyakumar Kotia</cp:lastModifiedBy>
  <cp:revision/>
  <dcterms:created xsi:type="dcterms:W3CDTF">2021-07-29T12:55:59Z</dcterms:created>
  <dcterms:modified xsi:type="dcterms:W3CDTF">2025-02-10T09:57:11Z</dcterms:modified>
  <cp:category/>
  <cp:contentStatus/>
</cp:coreProperties>
</file>