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xcaeduin-my.sharepoint.com/personal/19ph0380_sxca_edu_in/Documents/SXCA/B.Sc. Physics/Project/Work/Analysed files/"/>
    </mc:Choice>
  </mc:AlternateContent>
  <xr:revisionPtr revIDLastSave="18" documentId="11_D190F2F9F9742A6468F53034C0B9D441E60A89A1" xr6:coauthVersionLast="47" xr6:coauthVersionMax="47" xr10:uidLastSave="{A2EBE499-95BE-4CAC-A9A1-7DC64C4764AB}"/>
  <bookViews>
    <workbookView xWindow="-108" yWindow="-108" windowWidth="23256" windowHeight="12456" firstSheet="2" activeTab="6" xr2:uid="{00000000-000D-0000-FFFF-FFFF00000000}"/>
  </bookViews>
  <sheets>
    <sheet name="Seasonal data" sheetId="10" r:id="rId1"/>
    <sheet name="Data" sheetId="1" r:id="rId2"/>
    <sheet name="Monthly Data" sheetId="3" r:id="rId3"/>
    <sheet name="Without monsoon" sheetId="7" r:id="rId4"/>
    <sheet name="Modis-Landsat" sheetId="2" r:id="rId5"/>
    <sheet name="MODIS-LANDSAT without Monsoon" sheetId="9" r:id="rId6"/>
    <sheet name="Statistical Parameters" sheetId="4" r:id="rId7"/>
  </sheets>
  <definedNames>
    <definedName name="_2020" localSheetId="6">'Statistical Parameters'!$B$37:$B$38</definedName>
    <definedName name="Dec1531_" localSheetId="1">Data!$C$27:$Z$28</definedName>
    <definedName name="Monsoon" localSheetId="1">Data!$C$30:$Z$31</definedName>
    <definedName name="Post_monsoon" localSheetId="0">'Seasonal data'!$C$7:$Z$8</definedName>
    <definedName name="Summer" localSheetId="0">'Seasonal data'!$C$5:$Z$6</definedName>
    <definedName name="Winter" localSheetId="1">Data!$C$37:$Z$39</definedName>
  </definedNames>
  <calcPr calcId="191029"/>
</workbook>
</file>

<file path=xl/calcChain.xml><?xml version="1.0" encoding="utf-8"?>
<calcChain xmlns="http://schemas.openxmlformats.org/spreadsheetml/2006/main">
  <c r="M18" i="2" l="1"/>
  <c r="N18" i="2"/>
  <c r="O18" i="2"/>
  <c r="AB19" i="4"/>
  <c r="AB18" i="4"/>
  <c r="H6" i="4"/>
  <c r="I6" i="4" s="1"/>
  <c r="AB13" i="4"/>
  <c r="AB11" i="4"/>
  <c r="AC11" i="4" s="1"/>
  <c r="AB10" i="4"/>
  <c r="AC10" i="4" s="1"/>
  <c r="AB9" i="4"/>
  <c r="AC9" i="4" s="1"/>
  <c r="AB8" i="4"/>
  <c r="AC8" i="4" s="1"/>
  <c r="AB7" i="4"/>
  <c r="AC7" i="4" s="1"/>
  <c r="AB6" i="4"/>
  <c r="AC6" i="4" s="1"/>
  <c r="L6" i="4"/>
  <c r="M6" i="4" s="1"/>
  <c r="L7" i="4"/>
  <c r="M7" i="4" s="1"/>
  <c r="S19" i="9"/>
  <c r="R19" i="9"/>
  <c r="Q19" i="9"/>
  <c r="N19" i="9"/>
  <c r="M19" i="9"/>
  <c r="L19" i="9"/>
  <c r="I19" i="9"/>
  <c r="H19" i="9"/>
  <c r="G19" i="9"/>
  <c r="D19" i="9"/>
  <c r="C19" i="9"/>
  <c r="B19" i="9"/>
  <c r="V13" i="4"/>
  <c r="L13" i="4"/>
  <c r="P13" i="4"/>
  <c r="H13" i="4"/>
  <c r="H11" i="4"/>
  <c r="I11" i="4" s="1"/>
  <c r="H10" i="4"/>
  <c r="I10" i="4" s="1"/>
  <c r="H9" i="4"/>
  <c r="I9" i="4" s="1"/>
  <c r="H8" i="4"/>
  <c r="I8" i="4" s="1"/>
  <c r="H7" i="4"/>
  <c r="I7" i="4" s="1"/>
  <c r="V19" i="4" l="1"/>
  <c r="V18" i="4"/>
  <c r="V11" i="4"/>
  <c r="W11" i="4" s="1"/>
  <c r="V10" i="4"/>
  <c r="W10" i="4" s="1"/>
  <c r="V9" i="4"/>
  <c r="W9" i="4" s="1"/>
  <c r="V8" i="4"/>
  <c r="W8" i="4" s="1"/>
  <c r="V7" i="4"/>
  <c r="W7" i="4" s="1"/>
  <c r="V6" i="4"/>
  <c r="W6" i="4" s="1"/>
  <c r="P19" i="4"/>
  <c r="P18" i="4"/>
  <c r="P11" i="4"/>
  <c r="Q11" i="4" s="1"/>
  <c r="P7" i="4"/>
  <c r="Q7" i="4" s="1"/>
  <c r="P10" i="4"/>
  <c r="Q10" i="4" s="1"/>
  <c r="P9" i="4"/>
  <c r="Q9" i="4" s="1"/>
  <c r="P8" i="4"/>
  <c r="Q8" i="4" s="1"/>
  <c r="P6" i="4"/>
  <c r="Q6" i="4" s="1"/>
  <c r="L19" i="4"/>
  <c r="L18" i="4"/>
  <c r="L11" i="4"/>
  <c r="M11" i="4" s="1"/>
  <c r="L10" i="4"/>
  <c r="M10" i="4" s="1"/>
  <c r="L9" i="4"/>
  <c r="M9" i="4" s="1"/>
  <c r="L8" i="4"/>
  <c r="M8" i="4" s="1"/>
  <c r="N4" i="3"/>
  <c r="M16" i="3"/>
  <c r="B19" i="4"/>
  <c r="D19" i="4" s="1"/>
  <c r="B18" i="4"/>
  <c r="D18" i="4" s="1"/>
  <c r="B16" i="4"/>
  <c r="C16" i="4" s="1"/>
  <c r="B15" i="4"/>
  <c r="C15" i="4" s="1"/>
  <c r="B14" i="4"/>
  <c r="C14" i="4" s="1"/>
  <c r="B13" i="4"/>
  <c r="C13" i="4" s="1"/>
  <c r="B11" i="4"/>
  <c r="C11" i="4" s="1"/>
  <c r="B10" i="4"/>
  <c r="C10" i="4" s="1"/>
  <c r="B8" i="4"/>
  <c r="C8" i="4" s="1"/>
  <c r="B9" i="4"/>
  <c r="C9" i="4" s="1"/>
  <c r="B7" i="4"/>
  <c r="C7" i="4" s="1"/>
  <c r="B6" i="4"/>
  <c r="C6" i="4" s="1"/>
  <c r="R18" i="2" l="1"/>
  <c r="S18" i="2"/>
  <c r="T18" i="2"/>
  <c r="H18" i="2"/>
  <c r="I18" i="2"/>
  <c r="J18" i="2"/>
  <c r="C18" i="2"/>
  <c r="D18" i="2"/>
  <c r="E18" i="2"/>
  <c r="B16" i="3"/>
  <c r="C16" i="3"/>
  <c r="D16" i="3"/>
  <c r="E16" i="3"/>
  <c r="F16" i="3"/>
  <c r="G16" i="3"/>
  <c r="H16" i="3"/>
  <c r="I16" i="3"/>
  <c r="J16" i="3"/>
  <c r="K16" i="3"/>
  <c r="L16" i="3"/>
  <c r="N16" i="3"/>
  <c r="O16" i="3"/>
  <c r="P16" i="3"/>
  <c r="Q16" i="3"/>
  <c r="R16" i="3"/>
  <c r="S16" i="3"/>
  <c r="T16" i="3"/>
  <c r="U16" i="3"/>
  <c r="V16" i="3"/>
  <c r="W16" i="3"/>
  <c r="X16" i="3"/>
  <c r="Y16" i="3"/>
  <c r="XFD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020" type="6" refreshedVersion="3" background="1" saveData="1">
    <textPr codePage="437" sourceFile="C:\Users\ADMIN\Downloads\2020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Dec1531" type="6" refreshedVersion="3" background="1" saveData="1">
    <textPr codePage="437" firstRow="2" sourceFile="D:\RS\IEEE\LST(Median)\Dec1531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sourceFile="D:\RS\IEEE\IEEE data(For Mean).xlsx" keepAlive="1" name="IEEE data(For Mean)" type="5" refreshedVersion="0" new="1" background="1">
    <dbPr connection="Provider=Microsoft.ACE.OLEDB.12.0;Password=&quot;&quot;;User ID=Admin;Data Source=D:\RS\IEEE\IEEE data(For Mean)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R$" commandType="3"/>
  </connection>
  <connection id="4" xr16:uid="{00000000-0015-0000-FFFF-FFFF03000000}" name="Monsoon" type="6" refreshedVersion="3" background="1" saveData="1">
    <textPr codePage="437" firstRow="2" sourceFile="D:\RS\IEEE\LST(Median)\Monsoon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  <connection id="5" xr16:uid="{00000000-0015-0000-FFFF-FFFF04000000}" name="Post monsoon" type="6" refreshedVersion="3" background="1" saveData="1">
    <textPr codePage="437" firstRow="2" sourceFile="D:\RS\IEEE\LST(Median)\Post monsoon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  <connection id="6" xr16:uid="{00000000-0015-0000-FFFF-FFFF05000000}" name="Summer" type="6" refreshedVersion="3" background="1" saveData="1">
    <textPr codePage="437" firstRow="2" sourceFile="D:\RS\IEEE\LST(Median)\Summer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  <connection id="7" xr16:uid="{00000000-0015-0000-FFFF-FFFF06000000}" name="Winter" type="6" refreshedVersion="3" background="1" saveData="1">
    <textPr codePage="437" firstRow="2" sourceFile="D:\RS\IEEE\LST(Median)\Winter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</connections>
</file>

<file path=xl/sharedStrings.xml><?xml version="1.0" encoding="utf-8"?>
<sst xmlns="http://schemas.openxmlformats.org/spreadsheetml/2006/main" count="420" uniqueCount="98">
  <si>
    <t>min_nmdi</t>
  </si>
  <si>
    <t>min_ndwi</t>
  </si>
  <si>
    <t>min_ndvi</t>
  </si>
  <si>
    <t>min_ndbi</t>
  </si>
  <si>
    <t>min_fv</t>
  </si>
  <si>
    <t>min_em</t>
  </si>
  <si>
    <t>min_LST</t>
  </si>
  <si>
    <t>min_BT</t>
  </si>
  <si>
    <t>meanNMDI</t>
  </si>
  <si>
    <t>meanNDWI</t>
  </si>
  <si>
    <t>meanNDVI</t>
  </si>
  <si>
    <t>meanNDBI</t>
  </si>
  <si>
    <t>meanLST</t>
  </si>
  <si>
    <t>meanFV</t>
  </si>
  <si>
    <t>meanEm</t>
  </si>
  <si>
    <t>meanBT</t>
  </si>
  <si>
    <t>max_nmdi</t>
  </si>
  <si>
    <t>max_ndwi</t>
  </si>
  <si>
    <t>max_ndvi</t>
  </si>
  <si>
    <t>max_ndbi</t>
  </si>
  <si>
    <t>max_fv</t>
  </si>
  <si>
    <t>max_em</t>
  </si>
  <si>
    <t>max_LST</t>
  </si>
  <si>
    <t>max_BT</t>
  </si>
  <si>
    <t>Jan 01-15</t>
  </si>
  <si>
    <t>Jan 15-31</t>
  </si>
  <si>
    <t>Feb 01-15</t>
  </si>
  <si>
    <t>Feb 15-29</t>
  </si>
  <si>
    <t>March 01-15</t>
  </si>
  <si>
    <t>March 15-31</t>
  </si>
  <si>
    <t>April 01-15</t>
  </si>
  <si>
    <t>April 15-30</t>
  </si>
  <si>
    <t>May 01-15</t>
  </si>
  <si>
    <t>May 15-31</t>
  </si>
  <si>
    <t>June 01-15</t>
  </si>
  <si>
    <t>June 15-30</t>
  </si>
  <si>
    <t>July 01-15</t>
  </si>
  <si>
    <t>July 15-31</t>
  </si>
  <si>
    <t>Aug 01-15</t>
  </si>
  <si>
    <t>Aug 15-31</t>
  </si>
  <si>
    <t>Sept 01-15</t>
  </si>
  <si>
    <t>Sept 15-30</t>
  </si>
  <si>
    <t>Oct 01-15</t>
  </si>
  <si>
    <t>Oct 15-31</t>
  </si>
  <si>
    <t>Nov 01-15</t>
  </si>
  <si>
    <t>Nov 15-30</t>
  </si>
  <si>
    <t>Dec 01-15</t>
  </si>
  <si>
    <t>Dec 15-31</t>
  </si>
  <si>
    <t>Dates</t>
  </si>
  <si>
    <t>MODIS TERRA</t>
  </si>
  <si>
    <t>MODIS AQUA</t>
  </si>
  <si>
    <t>LANDSAT-8 SR</t>
  </si>
  <si>
    <t>Min LST</t>
  </si>
  <si>
    <t>Max LST</t>
  </si>
  <si>
    <t>Mean LST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</si>
  <si>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</si>
  <si>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</si>
  <si>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</si>
  <si>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</si>
  <si>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</si>
  <si>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</si>
  <si>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</si>
  <si>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</si>
  <si>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</si>
  <si>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</si>
  <si>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</si>
  <si>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</si>
  <si>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Landsat 8</t>
  </si>
  <si>
    <t>Winter</t>
  </si>
  <si>
    <t>Summer</t>
  </si>
  <si>
    <t>Monsoon</t>
  </si>
  <si>
    <t xml:space="preserve">   </t>
  </si>
  <si>
    <t>2020 Whole year</t>
  </si>
  <si>
    <t>Corellation co-efficient R</t>
  </si>
  <si>
    <t>2020(Summer &amp; Winter)</t>
  </si>
  <si>
    <t>Corellation co-efficient</t>
  </si>
  <si>
    <t xml:space="preserve">Corellation co-efficient </t>
  </si>
  <si>
    <t>LST-NDVI</t>
  </si>
  <si>
    <t>LST-NDBI</t>
  </si>
  <si>
    <t>LST-NDWI</t>
  </si>
  <si>
    <t>LST-NMDI</t>
  </si>
  <si>
    <t>LST-FV</t>
  </si>
  <si>
    <t>LST-BT</t>
  </si>
  <si>
    <t>NDBI-FV</t>
  </si>
  <si>
    <t>NDVI-NMDI</t>
  </si>
  <si>
    <t>NDWI-NMDI</t>
  </si>
  <si>
    <t>Terra-Landsat 8</t>
  </si>
  <si>
    <t>Aqua-Landsat 8</t>
  </si>
  <si>
    <t>Mean</t>
  </si>
  <si>
    <t>NDVI-NDBI</t>
  </si>
  <si>
    <t>LST Terra</t>
  </si>
  <si>
    <t>LST Aqua</t>
  </si>
  <si>
    <t>Post monsoon</t>
  </si>
  <si>
    <t>Premonsoon</t>
  </si>
  <si>
    <t>Postmonsoon</t>
  </si>
  <si>
    <t>Mean LST min</t>
  </si>
  <si>
    <t>Mean LST max</t>
  </si>
  <si>
    <r>
      <t>Coefficient of  determination R</t>
    </r>
    <r>
      <rPr>
        <vertAlign val="superscript"/>
        <sz val="11"/>
        <color theme="1"/>
        <rFont val="Calibri"/>
        <family val="2"/>
        <scheme val="minor"/>
      </rPr>
      <t xml:space="preserve">2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</si>
</sst>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11" fontId="0" fillId="2" borderId="2" xfId="0" applyNumberForma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11" fontId="0" fillId="3" borderId="2" xfId="0" applyNumberForma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11" fontId="0" fillId="2" borderId="3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2" fillId="4" borderId="4" xfId="0" applyFont="1" applyFill="1" applyBorder="1"/>
    <xf numFmtId="0" fontId="2" fillId="4" borderId="5" xfId="0" applyFont="1" applyFill="1" applyBorder="1"/>
    <xf numFmtId="0" fontId="0" fillId="2" borderId="2" xfId="0" applyFill="1" applyBorder="1"/>
    <xf numFmtId="0" fontId="0" fillId="2" borderId="6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0" xfId="0" applyFill="1"/>
    <xf numFmtId="0" fontId="2" fillId="4" borderId="7" xfId="0" applyFont="1" applyFill="1" applyBorder="1"/>
    <xf numFmtId="0" fontId="2" fillId="4" borderId="8" xfId="0" applyFont="1" applyFill="1" applyBorder="1"/>
    <xf numFmtId="11" fontId="0" fillId="0" borderId="0" xfId="0" applyNumberForma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t monsoon" connectionId="5" xr16:uid="{00000000-0016-0000-0000-000001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er" connectionId="6" xr16:uid="{00000000-0016-0000-0000-000000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soon" connectionId="4" xr16:uid="{00000000-0016-0000-01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nter" connectionId="7" xr16:uid="{00000000-0016-0000-0100-000004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c1531" connectionId="2" xr16:uid="{00000000-0016-0000-0100-000003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" connectionId="1" xr16:uid="{00000000-0016-0000-0600-000005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8"/>
  <sheetViews>
    <sheetView workbookViewId="0">
      <selection activeCell="A14" sqref="A14"/>
    </sheetView>
  </sheetViews>
  <sheetFormatPr defaultRowHeight="14.4" x14ac:dyDescent="0.3"/>
  <cols>
    <col min="2" max="2" width="13.33203125" bestFit="1" customWidth="1"/>
    <col min="3" max="3" width="7.88671875" bestFit="1" customWidth="1"/>
    <col min="10" max="10" width="12" bestFit="1" customWidth="1"/>
    <col min="15" max="15" width="12.6640625" bestFit="1" customWidth="1"/>
    <col min="16" max="16" width="12" bestFit="1" customWidth="1"/>
    <col min="17" max="17" width="12.6640625" bestFit="1" customWidth="1"/>
    <col min="18" max="18" width="12" bestFit="1" customWidth="1"/>
  </cols>
  <sheetData>
    <row r="3" spans="2:26" ht="15" thickBot="1" x14ac:dyDescent="0.35">
      <c r="C3" s="6" t="s">
        <v>23</v>
      </c>
      <c r="D3" s="6" t="s">
        <v>22</v>
      </c>
      <c r="E3" s="6" t="s">
        <v>21</v>
      </c>
      <c r="F3" s="6" t="s">
        <v>20</v>
      </c>
      <c r="G3" s="6" t="s">
        <v>19</v>
      </c>
      <c r="H3" s="6" t="s">
        <v>18</v>
      </c>
      <c r="I3" s="6" t="s">
        <v>17</v>
      </c>
      <c r="J3" s="6" t="s">
        <v>16</v>
      </c>
      <c r="K3" s="6" t="s">
        <v>15</v>
      </c>
      <c r="L3" s="6" t="s">
        <v>14</v>
      </c>
      <c r="M3" s="6" t="s">
        <v>13</v>
      </c>
      <c r="N3" s="6" t="s">
        <v>12</v>
      </c>
      <c r="O3" s="6" t="s">
        <v>11</v>
      </c>
      <c r="P3" s="6" t="s">
        <v>10</v>
      </c>
      <c r="Q3" s="6" t="s">
        <v>9</v>
      </c>
      <c r="R3" s="6" t="s">
        <v>8</v>
      </c>
      <c r="S3" s="6" t="s">
        <v>7</v>
      </c>
      <c r="T3" s="6" t="s">
        <v>6</v>
      </c>
      <c r="U3" s="6" t="s">
        <v>5</v>
      </c>
      <c r="V3" s="6" t="s">
        <v>4</v>
      </c>
      <c r="W3" s="6" t="s">
        <v>3</v>
      </c>
      <c r="X3" s="6" t="s">
        <v>2</v>
      </c>
      <c r="Y3" s="6" t="s">
        <v>1</v>
      </c>
      <c r="Z3" s="7" t="s">
        <v>0</v>
      </c>
    </row>
    <row r="4" spans="2:26" ht="15" thickTop="1" x14ac:dyDescent="0.3">
      <c r="B4" s="1">
        <v>2020</v>
      </c>
      <c r="C4" s="1">
        <v>308.60000000000002</v>
      </c>
      <c r="D4" s="1">
        <v>36.469702716826298</v>
      </c>
      <c r="E4" s="1">
        <v>0.990000000046525</v>
      </c>
      <c r="F4" s="1">
        <v>1.0000000116312699</v>
      </c>
      <c r="G4" s="1">
        <v>0.355733782052993</v>
      </c>
      <c r="H4" s="1">
        <v>0.80814290046691895</v>
      </c>
      <c r="I4" s="1">
        <v>0.26986753940582198</v>
      </c>
      <c r="J4" s="1">
        <v>0.72121649980545</v>
      </c>
      <c r="K4" s="1">
        <v>302.39999999993802</v>
      </c>
      <c r="L4" s="1">
        <v>0.98704510176597104</v>
      </c>
      <c r="M4" s="1">
        <v>0.261671643821414</v>
      </c>
      <c r="N4" s="1">
        <v>30.1506424816947</v>
      </c>
      <c r="O4" s="1">
        <v>-2.1459366047189499E-2</v>
      </c>
      <c r="P4" s="1">
        <v>0.26949448895113898</v>
      </c>
      <c r="Q4" s="1">
        <v>-0.33788642938529501</v>
      </c>
      <c r="R4" s="1">
        <v>0.13669645294517699</v>
      </c>
      <c r="S4" s="1">
        <v>296.39999999999998</v>
      </c>
      <c r="T4" s="1">
        <v>24.211372205518501</v>
      </c>
      <c r="U4" s="1">
        <v>0.98599999999999999</v>
      </c>
      <c r="V4" s="29">
        <v>3.23517894129752E-17</v>
      </c>
      <c r="W4" s="1">
        <v>-0.49174529314041099</v>
      </c>
      <c r="X4" s="1">
        <v>-0.29034942388534501</v>
      </c>
      <c r="Y4" s="1">
        <v>-0.72204345464706399</v>
      </c>
      <c r="Z4" s="1">
        <v>-0.320840954780578</v>
      </c>
    </row>
    <row r="5" spans="2:26" x14ac:dyDescent="0.3">
      <c r="B5" s="1" t="s">
        <v>93</v>
      </c>
      <c r="C5" s="1">
        <v>320.39999999999998</v>
      </c>
      <c r="D5" s="1">
        <v>48.358003016204201</v>
      </c>
      <c r="E5" s="1">
        <v>0.98999999992078502</v>
      </c>
      <c r="F5" s="1">
        <v>0.99999998019632497</v>
      </c>
      <c r="G5" s="1">
        <v>0.32371035218238797</v>
      </c>
      <c r="H5" s="1">
        <v>0.83665859699249201</v>
      </c>
      <c r="I5" s="1">
        <v>0.257082909345626</v>
      </c>
      <c r="J5" s="1">
        <v>0.74120557308196999</v>
      </c>
      <c r="K5" s="1">
        <v>312.04971822030001</v>
      </c>
      <c r="L5" s="1">
        <v>0.98670946585874397</v>
      </c>
      <c r="M5" s="1">
        <v>0.17771607678453799</v>
      </c>
      <c r="N5" s="1">
        <v>39.934358547924198</v>
      </c>
      <c r="O5" s="1">
        <v>-1.9665979263852199E-3</v>
      </c>
      <c r="P5" s="1">
        <v>0.23044613421933799</v>
      </c>
      <c r="Q5" s="1">
        <v>-0.31638638508571498</v>
      </c>
      <c r="R5" s="1">
        <v>9.7630428627142204E-2</v>
      </c>
      <c r="S5" s="1">
        <v>301.39999999999998</v>
      </c>
      <c r="T5" s="1">
        <v>29.244760339719601</v>
      </c>
      <c r="U5" s="1">
        <v>0.98599999999999999</v>
      </c>
      <c r="V5" s="29">
        <v>3.0014426847672001E-17</v>
      </c>
      <c r="W5" s="1">
        <v>-0.50749921798705999</v>
      </c>
      <c r="X5" s="1">
        <v>-0.211684376001358</v>
      </c>
      <c r="Y5" s="1">
        <v>-0.76243096590042103</v>
      </c>
      <c r="Z5" s="1">
        <v>-0.26315790414810097</v>
      </c>
    </row>
    <row r="6" spans="2:26" x14ac:dyDescent="0.3">
      <c r="B6" s="1" t="s">
        <v>70</v>
      </c>
      <c r="C6" s="1">
        <v>304</v>
      </c>
      <c r="D6" s="1">
        <v>31.834802065792001</v>
      </c>
      <c r="E6" s="1">
        <v>0.98999999979832498</v>
      </c>
      <c r="F6" s="1">
        <v>0.99999994958139904</v>
      </c>
      <c r="G6" s="1">
        <v>0.285335093736648</v>
      </c>
      <c r="H6" s="1">
        <v>0.91066086292266801</v>
      </c>
      <c r="I6" s="1">
        <v>0.49126213788986201</v>
      </c>
      <c r="J6" s="1">
        <v>0.79409450292587203</v>
      </c>
      <c r="K6" s="1">
        <v>298.89999999994302</v>
      </c>
      <c r="L6" s="1">
        <v>0.98713694572545796</v>
      </c>
      <c r="M6" s="1">
        <v>0.28709552816662498</v>
      </c>
      <c r="N6" s="1">
        <v>26.657746495151802</v>
      </c>
      <c r="O6" s="1">
        <v>-9.1778707747315197E-2</v>
      </c>
      <c r="P6" s="1">
        <v>0.37103082201912402</v>
      </c>
      <c r="Q6" s="1">
        <v>-0.386704237415747</v>
      </c>
      <c r="R6" s="1">
        <v>0.26949787924886798</v>
      </c>
      <c r="S6" s="1">
        <v>293.8</v>
      </c>
      <c r="T6" s="1">
        <v>21.5865131229078</v>
      </c>
      <c r="U6" s="1">
        <v>0.98599999999999999</v>
      </c>
      <c r="V6" s="29">
        <v>1.39194214853954E-17</v>
      </c>
      <c r="W6" s="1">
        <v>-0.64638346433639504</v>
      </c>
      <c r="X6" s="1">
        <v>-0.25547444820403997</v>
      </c>
      <c r="Y6" s="1">
        <v>-0.79682540893554599</v>
      </c>
      <c r="Z6" s="1">
        <v>-0.26186770200729298</v>
      </c>
    </row>
    <row r="7" spans="2:26" x14ac:dyDescent="0.3">
      <c r="B7" s="1" t="s">
        <v>94</v>
      </c>
      <c r="C7" s="1">
        <v>309.39999999999998</v>
      </c>
      <c r="D7" s="1">
        <v>37.276832658888203</v>
      </c>
      <c r="E7" s="1">
        <v>0.99000000000920996</v>
      </c>
      <c r="F7" s="1">
        <v>1.00000000230272</v>
      </c>
      <c r="G7" s="1">
        <v>0.33894112706184298</v>
      </c>
      <c r="H7" s="1">
        <v>0.84387397766113204</v>
      </c>
      <c r="I7" s="1">
        <v>0.40852129459381098</v>
      </c>
      <c r="J7" s="1">
        <v>0.76358246803283603</v>
      </c>
      <c r="K7" s="1">
        <v>302.09999999989299</v>
      </c>
      <c r="L7" s="1">
        <v>0.98710615329442297</v>
      </c>
      <c r="M7" s="1">
        <v>0.27729801060248999</v>
      </c>
      <c r="N7" s="1">
        <v>29.914011986402599</v>
      </c>
      <c r="O7" s="1">
        <v>-2.5379851938654201E-2</v>
      </c>
      <c r="P7" s="1">
        <v>0.29293396740357802</v>
      </c>
      <c r="Q7" s="1">
        <v>-0.34767978880862899</v>
      </c>
      <c r="R7" s="1">
        <v>0.152338354343178</v>
      </c>
      <c r="S7" s="1">
        <v>296.8</v>
      </c>
      <c r="T7" s="1">
        <v>24.633531828730199</v>
      </c>
      <c r="U7" s="1">
        <v>0.98599999999999999</v>
      </c>
      <c r="V7" s="29">
        <v>7.0833830347413095E-17</v>
      </c>
      <c r="W7" s="1">
        <v>-0.65096360445022505</v>
      </c>
      <c r="X7" s="1">
        <v>-0.31594201922416598</v>
      </c>
      <c r="Y7" s="1">
        <v>-0.75204056501388505</v>
      </c>
      <c r="Z7" s="1">
        <v>-0.325035899877548</v>
      </c>
    </row>
    <row r="8" spans="2:26" x14ac:dyDescent="0.3">
      <c r="B8" s="1" t="s">
        <v>68</v>
      </c>
      <c r="C8" s="1">
        <v>305.5</v>
      </c>
      <c r="D8" s="1">
        <v>33.3516628006521</v>
      </c>
      <c r="E8" s="1">
        <v>0.98999999982712505</v>
      </c>
      <c r="F8" s="1">
        <v>0.999999956781359</v>
      </c>
      <c r="G8" s="1">
        <v>0.43763920664787198</v>
      </c>
      <c r="H8" s="1">
        <v>0.85356628894805897</v>
      </c>
      <c r="I8" s="1">
        <v>0.418053448200225</v>
      </c>
      <c r="J8" s="1">
        <v>0.74530953168868996</v>
      </c>
      <c r="K8" s="1">
        <v>298.00489101658297</v>
      </c>
      <c r="L8" s="1">
        <v>0.98698417743195899</v>
      </c>
      <c r="M8" s="1">
        <v>0.24413900859572199</v>
      </c>
      <c r="N8" s="1">
        <v>25.7097533311928</v>
      </c>
      <c r="O8" s="1">
        <v>3.9275884690381201E-3</v>
      </c>
      <c r="P8" s="1">
        <v>0.23042476271106299</v>
      </c>
      <c r="Q8" s="1">
        <v>-0.30075856757033598</v>
      </c>
      <c r="R8" s="1">
        <v>8.9831392524889697E-2</v>
      </c>
      <c r="S8" s="1">
        <v>292.2</v>
      </c>
      <c r="T8" s="1">
        <v>20.013363782891499</v>
      </c>
      <c r="U8" s="1">
        <v>0.98599999999999999</v>
      </c>
      <c r="V8" s="29">
        <v>7.8977944272125898E-17</v>
      </c>
      <c r="W8" s="1">
        <v>-0.63683933019637995</v>
      </c>
      <c r="X8" s="1">
        <v>-0.37595257163047702</v>
      </c>
      <c r="Y8" s="1">
        <v>-0.77307075262069702</v>
      </c>
      <c r="Z8" s="1">
        <v>-0.39193257689476002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XFD27"/>
  <sheetViews>
    <sheetView topLeftCell="B1" workbookViewId="0">
      <pane xSplit="1" ySplit="2" topLeftCell="C13" activePane="bottomRight" state="frozen"/>
      <selection activeCell="B1" sqref="B1"/>
      <selection pane="topRight" activeCell="C1" sqref="C1"/>
      <selection pane="bottomLeft" activeCell="B3" sqref="B3"/>
      <selection pane="bottomRight" activeCell="D27" sqref="D27"/>
    </sheetView>
  </sheetViews>
  <sheetFormatPr defaultColWidth="9.109375" defaultRowHeight="14.4" x14ac:dyDescent="0.3"/>
  <cols>
    <col min="1" max="1" width="9.109375" style="1"/>
    <col min="2" max="2" width="13.33203125" style="1" bestFit="1" customWidth="1"/>
    <col min="3" max="3" width="6" style="1" customWidth="1"/>
    <col min="4" max="4" width="11.109375" style="1" customWidth="1"/>
    <col min="5" max="5" width="5" style="1" customWidth="1"/>
    <col min="6" max="18" width="11.109375" style="1" customWidth="1"/>
    <col min="19" max="19" width="6" style="1" customWidth="1"/>
    <col min="20" max="20" width="11.109375" style="1" customWidth="1"/>
    <col min="21" max="21" width="6" style="1" customWidth="1"/>
    <col min="22" max="22" width="8.33203125" style="1" customWidth="1"/>
    <col min="23" max="26" width="11.109375" style="1" customWidth="1"/>
    <col min="27" max="16384" width="9.109375" style="1"/>
  </cols>
  <sheetData>
    <row r="2" spans="2:26" ht="15" thickBot="1" x14ac:dyDescent="0.35">
      <c r="B2" s="5" t="s">
        <v>48</v>
      </c>
      <c r="C2" s="6" t="s">
        <v>23</v>
      </c>
      <c r="D2" s="6" t="s">
        <v>22</v>
      </c>
      <c r="E2" s="6" t="s">
        <v>21</v>
      </c>
      <c r="F2" s="6" t="s">
        <v>20</v>
      </c>
      <c r="G2" s="6" t="s">
        <v>19</v>
      </c>
      <c r="H2" s="6" t="s">
        <v>18</v>
      </c>
      <c r="I2" s="6" t="s">
        <v>17</v>
      </c>
      <c r="J2" s="6" t="s">
        <v>16</v>
      </c>
      <c r="K2" s="6" t="s">
        <v>15</v>
      </c>
      <c r="L2" s="6" t="s">
        <v>14</v>
      </c>
      <c r="M2" s="6" t="s">
        <v>13</v>
      </c>
      <c r="N2" s="6" t="s">
        <v>12</v>
      </c>
      <c r="O2" s="6" t="s">
        <v>11</v>
      </c>
      <c r="P2" s="6" t="s">
        <v>10</v>
      </c>
      <c r="Q2" s="6" t="s">
        <v>9</v>
      </c>
      <c r="R2" s="6" t="s">
        <v>8</v>
      </c>
      <c r="S2" s="6" t="s">
        <v>7</v>
      </c>
      <c r="T2" s="6" t="s">
        <v>6</v>
      </c>
      <c r="U2" s="6" t="s">
        <v>5</v>
      </c>
      <c r="V2" s="6" t="s">
        <v>4</v>
      </c>
      <c r="W2" s="6" t="s">
        <v>3</v>
      </c>
      <c r="X2" s="6" t="s">
        <v>2</v>
      </c>
      <c r="Y2" s="6" t="s">
        <v>1</v>
      </c>
      <c r="Z2" s="7" t="s">
        <v>0</v>
      </c>
    </row>
    <row r="3" spans="2:26" ht="15" thickTop="1" x14ac:dyDescent="0.3">
      <c r="B3" s="2" t="s">
        <v>24</v>
      </c>
      <c r="C3" s="8">
        <v>304</v>
      </c>
      <c r="D3" s="8">
        <v>31.839714809414101</v>
      </c>
      <c r="E3" s="8">
        <v>0.99000000018135204</v>
      </c>
      <c r="F3" s="8">
        <v>1.0000000453381399</v>
      </c>
      <c r="G3" s="8">
        <v>0.38233309984207098</v>
      </c>
      <c r="H3" s="8">
        <v>0.858784079551696</v>
      </c>
      <c r="I3" s="8">
        <v>0.33508083224296498</v>
      </c>
      <c r="J3" s="8">
        <v>0.84121733903884799</v>
      </c>
      <c r="K3" s="8">
        <v>296.51563190157901</v>
      </c>
      <c r="L3" s="8">
        <v>0.98698411719746604</v>
      </c>
      <c r="M3" s="8">
        <v>0.24606022011200601</v>
      </c>
      <c r="N3" s="8">
        <v>24.284512486916</v>
      </c>
      <c r="O3" s="8">
        <v>-3.9009377140573902E-3</v>
      </c>
      <c r="P3" s="8">
        <v>0.24608060652369601</v>
      </c>
      <c r="Q3" s="8">
        <v>-0.30076596370235897</v>
      </c>
      <c r="R3" s="8">
        <v>0.121055632643189</v>
      </c>
      <c r="S3" s="8">
        <v>292</v>
      </c>
      <c r="T3" s="8">
        <v>19.808168753141299</v>
      </c>
      <c r="U3" s="9">
        <v>0.98599999999999999</v>
      </c>
      <c r="V3" s="9">
        <v>8.4729924407888202E-17</v>
      </c>
      <c r="W3" s="8">
        <v>-0.71103596687316895</v>
      </c>
      <c r="X3" s="8">
        <v>-0.362114548683166</v>
      </c>
      <c r="Y3" s="8">
        <v>-0.77704918384552002</v>
      </c>
      <c r="Z3" s="10">
        <v>-0.372052252292633</v>
      </c>
    </row>
    <row r="4" spans="2:26" x14ac:dyDescent="0.3">
      <c r="B4" s="3" t="s">
        <v>25</v>
      </c>
      <c r="C4" s="11">
        <v>304.8</v>
      </c>
      <c r="D4" s="11">
        <v>32.641932214091902</v>
      </c>
      <c r="E4" s="11">
        <v>0.99000000006197897</v>
      </c>
      <c r="F4" s="11">
        <v>1.00000001549491</v>
      </c>
      <c r="G4" s="11">
        <v>0.435019850730896</v>
      </c>
      <c r="H4" s="11">
        <v>0.85584622621536199</v>
      </c>
      <c r="I4" s="11">
        <v>0.45417097210884</v>
      </c>
      <c r="J4" s="11">
        <v>0.77464789152145297</v>
      </c>
      <c r="K4" s="11">
        <v>297.01691500761598</v>
      </c>
      <c r="L4" s="11">
        <v>0.98701464366426495</v>
      </c>
      <c r="M4" s="11">
        <v>0.253870055886802</v>
      </c>
      <c r="N4" s="11">
        <v>24.845370874969898</v>
      </c>
      <c r="O4" s="11">
        <v>3.93308378737218E-3</v>
      </c>
      <c r="P4" s="11">
        <v>0.23044825648889999</v>
      </c>
      <c r="Q4" s="11">
        <v>-0.30076661507726299</v>
      </c>
      <c r="R4" s="11">
        <v>8.9816442400153906E-2</v>
      </c>
      <c r="S4" s="11">
        <v>292.10000000000002</v>
      </c>
      <c r="T4" s="11">
        <v>19.9135560033702</v>
      </c>
      <c r="U4" s="11">
        <v>0.98599999999999999</v>
      </c>
      <c r="V4" s="12">
        <v>2.39091265271936E-17</v>
      </c>
      <c r="W4" s="11">
        <v>-0.78227061033248901</v>
      </c>
      <c r="X4" s="11">
        <v>-0.40517240762710499</v>
      </c>
      <c r="Y4" s="11">
        <v>-0.78633469343185403</v>
      </c>
      <c r="Z4" s="13">
        <v>-0.70979380607604903</v>
      </c>
    </row>
    <row r="5" spans="2:26" x14ac:dyDescent="0.3">
      <c r="B5" s="3" t="s">
        <v>26</v>
      </c>
      <c r="C5" s="11">
        <v>305.5</v>
      </c>
      <c r="D5" s="11">
        <v>33.340918041366699</v>
      </c>
      <c r="E5" s="11">
        <v>0.99000000010074196</v>
      </c>
      <c r="F5" s="11">
        <v>1.0000000251857</v>
      </c>
      <c r="G5" s="11">
        <v>0.45998239517211897</v>
      </c>
      <c r="H5" s="11">
        <v>0.88416576385498002</v>
      </c>
      <c r="I5" s="11">
        <v>0.57206535339355402</v>
      </c>
      <c r="J5" s="11">
        <v>0.87572813034057595</v>
      </c>
      <c r="K5" s="11">
        <v>298.79999999994101</v>
      </c>
      <c r="L5" s="11">
        <v>0.987045154116999</v>
      </c>
      <c r="M5" s="11">
        <v>0.26167873337821401</v>
      </c>
      <c r="N5" s="11">
        <v>26.593392423338699</v>
      </c>
      <c r="O5" s="11">
        <v>1.1784016921581399E-2</v>
      </c>
      <c r="P5" s="11">
        <v>0.214829417046938</v>
      </c>
      <c r="Q5" s="11">
        <v>-0.30075751402267797</v>
      </c>
      <c r="R5" s="11">
        <v>6.6345656438481199E-2</v>
      </c>
      <c r="S5" s="11">
        <v>292.39999999999998</v>
      </c>
      <c r="T5" s="11">
        <v>20.213779463476701</v>
      </c>
      <c r="U5" s="11">
        <v>0.98599999999999999</v>
      </c>
      <c r="V5" s="12">
        <v>4.4043100894098999E-17</v>
      </c>
      <c r="W5" s="11">
        <v>-0.89440995454788197</v>
      </c>
      <c r="X5" s="11">
        <v>-0.48398903012275601</v>
      </c>
      <c r="Y5" s="11">
        <v>-0.85386031866073597</v>
      </c>
      <c r="Z5" s="13">
        <v>-0.512515068054199</v>
      </c>
    </row>
    <row r="6" spans="2:26" x14ac:dyDescent="0.3">
      <c r="B6" s="4" t="s">
        <v>27</v>
      </c>
      <c r="C6" s="8">
        <v>308.60000000000002</v>
      </c>
      <c r="D6" s="8">
        <v>36.447844393071101</v>
      </c>
      <c r="E6" s="8">
        <v>0.98999999980985398</v>
      </c>
      <c r="F6" s="8">
        <v>0.99999995246349804</v>
      </c>
      <c r="G6" s="8">
        <v>0.42902925610542297</v>
      </c>
      <c r="H6" s="8">
        <v>0.83299529552459695</v>
      </c>
      <c r="I6" s="8">
        <v>0.44135802984237599</v>
      </c>
      <c r="J6" s="8">
        <v>0.73772609233856201</v>
      </c>
      <c r="K6" s="8">
        <v>301.89999999996098</v>
      </c>
      <c r="L6" s="8">
        <v>0.98692307857531103</v>
      </c>
      <c r="M6" s="8">
        <v>0.232416728098324</v>
      </c>
      <c r="N6" s="8">
        <v>29.7210982448374</v>
      </c>
      <c r="O6" s="8">
        <v>1.95989238102732E-2</v>
      </c>
      <c r="P6" s="8">
        <v>0.21482519463642899</v>
      </c>
      <c r="Q6" s="8">
        <v>-0.29299403359419401</v>
      </c>
      <c r="R6" s="8">
        <v>7.4187109913008503E-2</v>
      </c>
      <c r="S6" s="8">
        <v>294.2</v>
      </c>
      <c r="T6" s="8">
        <v>21.8188197899558</v>
      </c>
      <c r="U6" s="8">
        <v>0.98599999999999999</v>
      </c>
      <c r="V6" s="9">
        <v>6.1314412967871306E-17</v>
      </c>
      <c r="W6" s="8">
        <v>-0.72521245479583696</v>
      </c>
      <c r="X6" s="8">
        <v>-0.36407431960105802</v>
      </c>
      <c r="Y6" s="8">
        <v>-0.75086665153503396</v>
      </c>
      <c r="Z6" s="10">
        <v>-0.381723552942276</v>
      </c>
    </row>
    <row r="7" spans="2:26" x14ac:dyDescent="0.3">
      <c r="B7" s="4" t="s">
        <v>28</v>
      </c>
      <c r="C7" s="8">
        <v>313.2</v>
      </c>
      <c r="D7" s="8">
        <v>41.078163569225303</v>
      </c>
      <c r="E7" s="8">
        <v>0.99000000018967005</v>
      </c>
      <c r="F7" s="8">
        <v>1.0000000474175299</v>
      </c>
      <c r="G7" s="8">
        <v>0.42500001192092801</v>
      </c>
      <c r="H7" s="8">
        <v>0.83561640977859497</v>
      </c>
      <c r="I7" s="8">
        <v>0.34552937746047901</v>
      </c>
      <c r="J7" s="8">
        <v>0.72226285934448198</v>
      </c>
      <c r="K7" s="8">
        <v>304.183156174011</v>
      </c>
      <c r="L7" s="8">
        <v>0.98692304506913797</v>
      </c>
      <c r="M7" s="8">
        <v>0.230431084809609</v>
      </c>
      <c r="N7" s="8">
        <v>31.938414836798401</v>
      </c>
      <c r="O7" s="8">
        <v>1.36931199106912E-2</v>
      </c>
      <c r="P7" s="8">
        <v>0.214835526285062</v>
      </c>
      <c r="Q7" s="8">
        <v>-0.292996299166351</v>
      </c>
      <c r="R7" s="8">
        <v>8.1980934353002494E-2</v>
      </c>
      <c r="S7" s="8">
        <v>295.7</v>
      </c>
      <c r="T7" s="8">
        <v>23.311516576147501</v>
      </c>
      <c r="U7" s="8">
        <v>0.98599999999999999</v>
      </c>
      <c r="V7" s="9">
        <v>1.27521105913724E-16</v>
      </c>
      <c r="W7" s="8">
        <v>-0.53658539056777899</v>
      </c>
      <c r="X7" s="8">
        <v>-0.36974233388900701</v>
      </c>
      <c r="Y7" s="8">
        <v>-0.75183486938476496</v>
      </c>
      <c r="Z7" s="10">
        <v>-0.395696491003036</v>
      </c>
    </row>
    <row r="8" spans="2:26" x14ac:dyDescent="0.3">
      <c r="B8" s="3" t="s">
        <v>29</v>
      </c>
      <c r="C8" s="11">
        <v>317.3</v>
      </c>
      <c r="D8" s="11">
        <v>45.212375842234103</v>
      </c>
      <c r="E8" s="11">
        <v>0.98999999995960397</v>
      </c>
      <c r="F8" s="11">
        <v>0.99999998990107297</v>
      </c>
      <c r="G8" s="11">
        <v>0.38220179080963101</v>
      </c>
      <c r="H8" s="11">
        <v>0.86273115873336703</v>
      </c>
      <c r="I8" s="11">
        <v>0.41728395223617498</v>
      </c>
      <c r="J8" s="11">
        <v>0.75084441900253296</v>
      </c>
      <c r="K8" s="11">
        <v>308.20000000003301</v>
      </c>
      <c r="L8" s="11">
        <v>0.98704501886793505</v>
      </c>
      <c r="M8" s="11">
        <v>0.25976004176826201</v>
      </c>
      <c r="N8" s="11">
        <v>36.060470915582599</v>
      </c>
      <c r="O8" s="11">
        <v>1.36788056663003E-2</v>
      </c>
      <c r="P8" s="11">
        <v>0.23043344639432201</v>
      </c>
      <c r="Q8" s="11">
        <v>-0.31643083996507398</v>
      </c>
      <c r="R8" s="11">
        <v>7.4172725411670706E-2</v>
      </c>
      <c r="S8" s="11">
        <v>297.8</v>
      </c>
      <c r="T8" s="11">
        <v>25.632996256924901</v>
      </c>
      <c r="U8" s="11">
        <v>0.98599999999999999</v>
      </c>
      <c r="V8" s="12">
        <v>2.4699052316487399E-17</v>
      </c>
      <c r="W8" s="11">
        <v>-0.53440213203430098</v>
      </c>
      <c r="X8" s="11">
        <v>-0.43018481135368303</v>
      </c>
      <c r="Y8" s="11">
        <v>-0.84177213907241799</v>
      </c>
      <c r="Z8" s="13">
        <v>-0.43852302432060197</v>
      </c>
    </row>
    <row r="9" spans="2:26" x14ac:dyDescent="0.3">
      <c r="B9" s="3" t="s">
        <v>30</v>
      </c>
      <c r="C9" s="11">
        <v>322.64999999999998</v>
      </c>
      <c r="D9" s="11">
        <v>50.6175427354326</v>
      </c>
      <c r="E9" s="11">
        <v>0.99000000008595201</v>
      </c>
      <c r="F9" s="11">
        <v>1.0000000214882101</v>
      </c>
      <c r="G9" s="11">
        <v>0.36171019077300998</v>
      </c>
      <c r="H9" s="11">
        <v>0.864116311073303</v>
      </c>
      <c r="I9" s="11">
        <v>0.26096996665000899</v>
      </c>
      <c r="J9" s="11">
        <v>0.77049988508224398</v>
      </c>
      <c r="K9" s="11">
        <v>313.80017404109901</v>
      </c>
      <c r="L9" s="11">
        <v>0.986800937288693</v>
      </c>
      <c r="M9" s="11">
        <v>0.19918473434328601</v>
      </c>
      <c r="N9" s="11">
        <v>41.6875882070416</v>
      </c>
      <c r="O9" s="11">
        <v>9.7763845260377905E-3</v>
      </c>
      <c r="P9" s="11">
        <v>0.230444620336342</v>
      </c>
      <c r="Q9" s="11">
        <v>-0.31641053587619</v>
      </c>
      <c r="R9" s="11">
        <v>8.1991320882727606E-2</v>
      </c>
      <c r="S9" s="11">
        <v>302.25</v>
      </c>
      <c r="T9" s="11">
        <v>29.883731559531299</v>
      </c>
      <c r="U9" s="11">
        <v>0.98599999999999999</v>
      </c>
      <c r="V9" s="12">
        <v>3.5391002035740298E-18</v>
      </c>
      <c r="W9" s="11">
        <v>-0.57992470264434803</v>
      </c>
      <c r="X9" s="11">
        <v>-0.278642147779464</v>
      </c>
      <c r="Y9" s="11">
        <v>-0.79648011922836304</v>
      </c>
      <c r="Z9" s="13">
        <v>-0.41743698716163602</v>
      </c>
    </row>
    <row r="10" spans="2:26" x14ac:dyDescent="0.3">
      <c r="B10" s="4" t="s">
        <v>31</v>
      </c>
      <c r="C10" s="8">
        <v>320.45</v>
      </c>
      <c r="D10" s="8">
        <v>48.433947593755299</v>
      </c>
      <c r="E10" s="8">
        <v>0.98999999984154496</v>
      </c>
      <c r="F10" s="8">
        <v>0.99999996038646199</v>
      </c>
      <c r="G10" s="8">
        <v>0.29305037856101901</v>
      </c>
      <c r="H10" s="8">
        <v>0.85739904642105103</v>
      </c>
      <c r="I10" s="8">
        <v>0.25934067368507302</v>
      </c>
      <c r="J10" s="8">
        <v>0.76774942874908403</v>
      </c>
      <c r="K10" s="8">
        <v>311.54931125955801</v>
      </c>
      <c r="L10" s="8">
        <v>0.98655687633529199</v>
      </c>
      <c r="M10" s="8">
        <v>0.13868004829826</v>
      </c>
      <c r="N10" s="8">
        <v>39.435968874773003</v>
      </c>
      <c r="O10" s="8">
        <v>-1.9725867804026298E-3</v>
      </c>
      <c r="P10" s="8">
        <v>0.23044087397943899</v>
      </c>
      <c r="Q10" s="8">
        <v>-0.31640229001206899</v>
      </c>
      <c r="R10" s="8">
        <v>9.7609685251674405E-2</v>
      </c>
      <c r="S10" s="8">
        <v>301.60000000000002</v>
      </c>
      <c r="T10" s="8">
        <v>29.472168170717701</v>
      </c>
      <c r="U10" s="8">
        <v>0.98599999999999999</v>
      </c>
      <c r="V10" s="9">
        <v>5.1766279723711198E-17</v>
      </c>
      <c r="W10" s="8">
        <v>-0.53693592548370295</v>
      </c>
      <c r="X10" s="8">
        <v>-0.14553190767765001</v>
      </c>
      <c r="Y10" s="8">
        <v>-0.92716997861862105</v>
      </c>
      <c r="Z10" s="10">
        <v>-0.31899940967559798</v>
      </c>
    </row>
    <row r="11" spans="2:26" x14ac:dyDescent="0.3">
      <c r="B11" s="4" t="s">
        <v>32</v>
      </c>
      <c r="C11" s="8">
        <v>320.60000000000002</v>
      </c>
      <c r="D11" s="8">
        <v>48.563764807217503</v>
      </c>
      <c r="E11" s="8">
        <v>0.98999999977421405</v>
      </c>
      <c r="F11" s="8">
        <v>0.99999994355356903</v>
      </c>
      <c r="G11" s="8">
        <v>0.30143228173255898</v>
      </c>
      <c r="H11" s="8">
        <v>0.812350094318389</v>
      </c>
      <c r="I11" s="8">
        <v>0.188109621405601</v>
      </c>
      <c r="J11" s="8">
        <v>0.72938257455825795</v>
      </c>
      <c r="K11" s="8">
        <v>312.67522782097598</v>
      </c>
      <c r="L11" s="8">
        <v>0.98664832238253697</v>
      </c>
      <c r="M11" s="8">
        <v>0.15820266978071201</v>
      </c>
      <c r="N11" s="8">
        <v>40.562431905107502</v>
      </c>
      <c r="O11" s="8">
        <v>-1.96990066191892E-3</v>
      </c>
      <c r="P11" s="8">
        <v>0.22461132393355501</v>
      </c>
      <c r="Q11" s="8">
        <v>-0.30662841573364003</v>
      </c>
      <c r="R11" s="8">
        <v>0.105457723098706</v>
      </c>
      <c r="S11" s="8">
        <v>303.10000000000002</v>
      </c>
      <c r="T11" s="8">
        <v>30.976522665638502</v>
      </c>
      <c r="U11" s="8">
        <v>0.98599999999999999</v>
      </c>
      <c r="V11" s="9">
        <v>4.2687820325039303E-17</v>
      </c>
      <c r="W11" s="8">
        <v>-0.52629590034484797</v>
      </c>
      <c r="X11" s="8">
        <v>-0.16845025122165599</v>
      </c>
      <c r="Y11" s="8">
        <v>-0.74870109558105402</v>
      </c>
      <c r="Z11" s="10">
        <v>-0.33230713009834201</v>
      </c>
    </row>
    <row r="12" spans="2:26" x14ac:dyDescent="0.3">
      <c r="B12" s="3" t="s">
        <v>33</v>
      </c>
      <c r="C12" s="11">
        <v>323.5</v>
      </c>
      <c r="D12" s="11">
        <v>51.500950848890199</v>
      </c>
      <c r="E12" s="11">
        <v>0.99000000022581303</v>
      </c>
      <c r="F12" s="11">
        <v>1.0000000564532701</v>
      </c>
      <c r="G12" s="11">
        <v>0.35310935974120999</v>
      </c>
      <c r="H12" s="11">
        <v>0.81837230920791604</v>
      </c>
      <c r="I12" s="11">
        <v>0.17682467401027599</v>
      </c>
      <c r="J12" s="11">
        <v>0.70380121469497603</v>
      </c>
      <c r="K12" s="11">
        <v>313.17725030874698</v>
      </c>
      <c r="L12" s="11">
        <v>0.98658746511068895</v>
      </c>
      <c r="M12" s="11">
        <v>0.14448995050973701</v>
      </c>
      <c r="N12" s="11">
        <v>41.062528888279502</v>
      </c>
      <c r="O12" s="11">
        <v>1.94067964748222E-3</v>
      </c>
      <c r="P12" s="11">
        <v>0.22069606298678601</v>
      </c>
      <c r="Q12" s="11">
        <v>-0.30273460390958501</v>
      </c>
      <c r="R12" s="11">
        <v>9.76279771746765E-2</v>
      </c>
      <c r="S12" s="11">
        <v>302.60000000000002</v>
      </c>
      <c r="T12" s="11">
        <v>30.461985112323301</v>
      </c>
      <c r="U12" s="11">
        <v>0.98599999999999999</v>
      </c>
      <c r="V12" s="12">
        <v>1.76083291645311E-17</v>
      </c>
      <c r="W12" s="11">
        <v>-0.56428092718124301</v>
      </c>
      <c r="X12" s="11">
        <v>-0.15594945847988101</v>
      </c>
      <c r="Y12" s="11">
        <v>-0.75557827949523904</v>
      </c>
      <c r="Z12" s="13">
        <v>-0.48687019944190901</v>
      </c>
    </row>
    <row r="13" spans="2:26" x14ac:dyDescent="0.3">
      <c r="B13" s="3" t="s">
        <v>34</v>
      </c>
      <c r="C13" s="11">
        <v>308</v>
      </c>
      <c r="D13" s="11">
        <v>35.894586681964</v>
      </c>
      <c r="E13" s="11">
        <v>0.98999999979870701</v>
      </c>
      <c r="F13" s="11">
        <v>0.99999994967694805</v>
      </c>
      <c r="G13" s="11">
        <v>0.45129913091659501</v>
      </c>
      <c r="H13" s="11">
        <v>0.88428539037704401</v>
      </c>
      <c r="I13" s="11">
        <v>0.155586868524551</v>
      </c>
      <c r="J13" s="11">
        <v>0.73694193363189697</v>
      </c>
      <c r="K13" s="11">
        <v>301.5</v>
      </c>
      <c r="L13" s="11">
        <v>0.98658732248111802</v>
      </c>
      <c r="M13" s="11">
        <v>0.15040814239279601</v>
      </c>
      <c r="N13" s="11">
        <v>29.344443964482601</v>
      </c>
      <c r="O13" s="11">
        <v>-1.36620782354767E-2</v>
      </c>
      <c r="P13" s="11">
        <v>0.24609476986220799</v>
      </c>
      <c r="Q13" s="11">
        <v>-0.32420011498096002</v>
      </c>
      <c r="R13" s="11">
        <v>0.144487734063486</v>
      </c>
      <c r="S13" s="11">
        <v>297.2</v>
      </c>
      <c r="T13" s="11">
        <v>25.033826089450201</v>
      </c>
      <c r="U13" s="11">
        <v>0.98599999999999999</v>
      </c>
      <c r="V13" s="12">
        <v>1.50822289059775E-17</v>
      </c>
      <c r="W13" s="11">
        <v>-0.488865315914154</v>
      </c>
      <c r="X13" s="11">
        <v>-0.16164584457874201</v>
      </c>
      <c r="Y13" s="11">
        <v>-0.85720217227935702</v>
      </c>
      <c r="Z13" s="13">
        <v>-0.56951838731765703</v>
      </c>
    </row>
    <row r="14" spans="2:26" x14ac:dyDescent="0.3">
      <c r="B14" s="4" t="s">
        <v>35</v>
      </c>
      <c r="C14" s="8">
        <v>297.3</v>
      </c>
      <c r="D14" s="8">
        <v>25.146200148785901</v>
      </c>
      <c r="E14" s="8">
        <v>0.99000000019517398</v>
      </c>
      <c r="F14" s="8">
        <v>1.0000000487937</v>
      </c>
      <c r="G14" s="8">
        <v>0.148481085896492</v>
      </c>
      <c r="H14" s="8">
        <v>0.85604971647262496</v>
      </c>
      <c r="I14" s="8">
        <v>3.0936118215322401E-2</v>
      </c>
      <c r="J14" s="8">
        <v>0.65621292591094904</v>
      </c>
      <c r="K14" s="8">
        <v>293.80000000000899</v>
      </c>
      <c r="L14" s="8">
        <v>0.98661801801259297</v>
      </c>
      <c r="M14" s="8">
        <v>0.15246545953899401</v>
      </c>
      <c r="N14" s="8">
        <v>21.5107510541383</v>
      </c>
      <c r="O14" s="8">
        <v>-9.9590500673817903E-2</v>
      </c>
      <c r="P14" s="8">
        <v>0.345699657040002</v>
      </c>
      <c r="Q14" s="8">
        <v>-0.357460261602429</v>
      </c>
      <c r="R14" s="8">
        <v>0.28714744029129502</v>
      </c>
      <c r="S14" s="8">
        <v>289.7</v>
      </c>
      <c r="T14" s="8">
        <v>17.344570073826901</v>
      </c>
      <c r="U14" s="8">
        <v>0.98599999999999999</v>
      </c>
      <c r="V14" s="9">
        <v>6.8576530516958202E-20</v>
      </c>
      <c r="W14" s="8">
        <v>-0.44305998086929299</v>
      </c>
      <c r="X14" s="8">
        <v>1.5968665480613702E-2</v>
      </c>
      <c r="Y14" s="8">
        <v>-0.79483234882354703</v>
      </c>
      <c r="Z14" s="10">
        <v>-9.4594597816467202E-2</v>
      </c>
    </row>
    <row r="15" spans="2:26" x14ac:dyDescent="0.3">
      <c r="B15" s="4" t="s">
        <v>36</v>
      </c>
      <c r="C15" s="8">
        <v>304.89999999999998</v>
      </c>
      <c r="D15" s="8">
        <v>32.713931476872403</v>
      </c>
      <c r="E15" s="8">
        <v>0.989999999864136</v>
      </c>
      <c r="F15" s="8">
        <v>0.99999996603407204</v>
      </c>
      <c r="G15" s="8">
        <v>0.58333331346511796</v>
      </c>
      <c r="H15" s="8">
        <v>0.99929380416870095</v>
      </c>
      <c r="I15" s="8">
        <v>0.60451978445053101</v>
      </c>
      <c r="J15" s="8">
        <v>0.80988186597824097</v>
      </c>
      <c r="K15" s="8">
        <v>300.299939476936</v>
      </c>
      <c r="L15" s="8">
        <v>0.98667891892772497</v>
      </c>
      <c r="M15" s="8">
        <v>0.166011902696237</v>
      </c>
      <c r="N15" s="8">
        <v>28.0581526329083</v>
      </c>
      <c r="O15" s="8">
        <v>-8.2007969012213897E-2</v>
      </c>
      <c r="P15" s="8">
        <v>0.339806950199805</v>
      </c>
      <c r="Q15" s="8">
        <v>-0.37108145392237901</v>
      </c>
      <c r="R15" s="8">
        <v>0.25383758235291198</v>
      </c>
      <c r="S15" s="8">
        <v>287.5</v>
      </c>
      <c r="T15" s="8">
        <v>15.112265406231399</v>
      </c>
      <c r="U15" s="8">
        <v>0.98599999999999999</v>
      </c>
      <c r="V15" s="9">
        <v>5.55817824445136E-19</v>
      </c>
      <c r="W15" s="8">
        <v>-0.634335577487945</v>
      </c>
      <c r="X15" s="8">
        <v>-0.111111111938953</v>
      </c>
      <c r="Y15" s="8">
        <v>-0.99372762441635099</v>
      </c>
      <c r="Z15" s="10">
        <v>-0.593023240566253</v>
      </c>
    </row>
    <row r="16" spans="2:26" x14ac:dyDescent="0.3">
      <c r="B16" s="3" t="s">
        <v>37</v>
      </c>
      <c r="C16" s="11">
        <v>300.8</v>
      </c>
      <c r="D16" s="11">
        <v>28.6618223737762</v>
      </c>
      <c r="E16" s="11">
        <v>0.99</v>
      </c>
      <c r="F16" s="11">
        <v>1</v>
      </c>
      <c r="G16" s="11">
        <v>0.285335093736648</v>
      </c>
      <c r="H16" s="11">
        <v>1</v>
      </c>
      <c r="I16" s="11">
        <v>0.33719247579574502</v>
      </c>
      <c r="J16" s="11">
        <v>0.89617878198623602</v>
      </c>
      <c r="K16" s="11">
        <v>296.49999999999898</v>
      </c>
      <c r="L16" s="11">
        <v>0.98692323001749505</v>
      </c>
      <c r="M16" s="11">
        <v>0.23828754787572001</v>
      </c>
      <c r="N16" s="11">
        <v>24.266356864066001</v>
      </c>
      <c r="O16" s="11">
        <v>-0.16799263129469999</v>
      </c>
      <c r="P16" s="11">
        <v>0.48046414091586498</v>
      </c>
      <c r="Q16" s="11">
        <v>-0.44146572997762201</v>
      </c>
      <c r="R16" s="11">
        <v>0.378791339640769</v>
      </c>
      <c r="S16" s="11">
        <v>293.7</v>
      </c>
      <c r="T16" s="11">
        <v>21.453136204677701</v>
      </c>
      <c r="U16" s="11">
        <v>0.98599999999999999</v>
      </c>
      <c r="V16" s="12">
        <v>7.81366021850069E-20</v>
      </c>
      <c r="W16" s="11">
        <v>-0.89123868942260698</v>
      </c>
      <c r="X16" s="11">
        <v>-8.60832165926694E-3</v>
      </c>
      <c r="Y16" s="11">
        <v>-0.99654281139373702</v>
      </c>
      <c r="Z16" s="13">
        <v>-0.47669935226440402</v>
      </c>
    </row>
    <row r="17" spans="2:26 16384:16384" x14ac:dyDescent="0.3">
      <c r="B17" s="3" t="s">
        <v>38</v>
      </c>
      <c r="C17" s="11">
        <v>304.10000000000002</v>
      </c>
      <c r="D17" s="11">
        <v>31.938492089337501</v>
      </c>
      <c r="E17" s="11">
        <v>0.99000000009962996</v>
      </c>
      <c r="F17" s="11">
        <v>1.0000000249077099</v>
      </c>
      <c r="G17" s="11">
        <v>0.55151516199111905</v>
      </c>
      <c r="H17" s="11">
        <v>0.99869930744171098</v>
      </c>
      <c r="I17" s="11">
        <v>0.81313133239746005</v>
      </c>
      <c r="J17" s="11">
        <v>0.82339179515838601</v>
      </c>
      <c r="K17" s="11">
        <v>299.5</v>
      </c>
      <c r="L17" s="11">
        <v>0.98750309022178995</v>
      </c>
      <c r="M17" s="11">
        <v>0.378870023373442</v>
      </c>
      <c r="N17" s="11">
        <v>27.2829536786438</v>
      </c>
      <c r="O17" s="11">
        <v>-0.10543369614643</v>
      </c>
      <c r="P17" s="11">
        <v>0.36323597052093198</v>
      </c>
      <c r="Q17" s="11">
        <v>-0.38665870314406697</v>
      </c>
      <c r="R17" s="11">
        <v>0.26946911268007601</v>
      </c>
      <c r="S17" s="11">
        <v>295.3</v>
      </c>
      <c r="T17" s="11">
        <v>22.918996071526401</v>
      </c>
      <c r="U17" s="11">
        <v>0.98599999999999999</v>
      </c>
      <c r="V17" s="12">
        <v>1.85903981444868E-18</v>
      </c>
      <c r="W17" s="11">
        <v>-0.75267004966735795</v>
      </c>
      <c r="X17" s="11">
        <v>-0.65094339847564697</v>
      </c>
      <c r="Y17" s="11">
        <v>-0.98778861761093095</v>
      </c>
      <c r="Z17" s="13">
        <v>-0.48611110448837203</v>
      </c>
    </row>
    <row r="18" spans="2:26 16384:16384" x14ac:dyDescent="0.3">
      <c r="B18" s="4" t="s">
        <v>39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0"/>
    </row>
    <row r="19" spans="2:26 16384:16384" x14ac:dyDescent="0.3">
      <c r="B19" s="4" t="s">
        <v>40</v>
      </c>
      <c r="C19" s="8">
        <v>303.8</v>
      </c>
      <c r="D19" s="8">
        <v>31.619447471949499</v>
      </c>
      <c r="E19" s="8">
        <v>0.99</v>
      </c>
      <c r="F19" s="8">
        <v>1</v>
      </c>
      <c r="G19" s="8">
        <v>0.26066350936889598</v>
      </c>
      <c r="H19" s="8">
        <v>1</v>
      </c>
      <c r="I19" s="8">
        <v>0.343848586082458</v>
      </c>
      <c r="J19" s="8">
        <v>0.81635528802871704</v>
      </c>
      <c r="K19" s="8">
        <v>298.20000000004001</v>
      </c>
      <c r="L19" s="8">
        <v>0.98722797229575798</v>
      </c>
      <c r="M19" s="8">
        <v>0.30853486131539898</v>
      </c>
      <c r="N19" s="8">
        <v>25.9728689526303</v>
      </c>
      <c r="O19" s="8">
        <v>-0.11913539240980001</v>
      </c>
      <c r="P19" s="8">
        <v>0.42577836786317003</v>
      </c>
      <c r="Q19" s="8">
        <v>-0.41015564083389</v>
      </c>
      <c r="R19" s="8">
        <v>0.31632651611438201</v>
      </c>
      <c r="S19" s="8">
        <v>293.3</v>
      </c>
      <c r="T19" s="8">
        <v>20.938530195243999</v>
      </c>
      <c r="U19" s="8">
        <v>0.98599999999999999</v>
      </c>
      <c r="V19" s="9">
        <v>1.43540366352672E-18</v>
      </c>
      <c r="W19" s="8">
        <v>-0.59617549180984497</v>
      </c>
      <c r="X19" s="8">
        <v>-0.27564102411270103</v>
      </c>
      <c r="Y19" s="8">
        <v>-0.99508255720138505</v>
      </c>
      <c r="Z19" s="10">
        <v>-0.432231485843658</v>
      </c>
    </row>
    <row r="20" spans="2:26 16384:16384" x14ac:dyDescent="0.3">
      <c r="B20" s="3" t="s">
        <v>41</v>
      </c>
      <c r="C20" s="11">
        <v>302.5</v>
      </c>
      <c r="D20" s="11">
        <v>30.326799213187201</v>
      </c>
      <c r="E20" s="11">
        <v>0.99</v>
      </c>
      <c r="F20" s="11">
        <v>1</v>
      </c>
      <c r="G20" s="11">
        <v>0.43189826607704102</v>
      </c>
      <c r="H20" s="11">
        <v>1</v>
      </c>
      <c r="I20" s="11">
        <v>0.33943662047386097</v>
      </c>
      <c r="J20" s="11">
        <v>0.81815260648727395</v>
      </c>
      <c r="K20" s="11">
        <v>297.60000000005903</v>
      </c>
      <c r="L20" s="11">
        <v>0.98731955142660399</v>
      </c>
      <c r="M20" s="11">
        <v>0.32422028471265402</v>
      </c>
      <c r="N20" s="11">
        <v>25.340530422140901</v>
      </c>
      <c r="O20" s="11">
        <v>-0.13669139444395201</v>
      </c>
      <c r="P20" s="11">
        <v>0.49605213566522399</v>
      </c>
      <c r="Q20" s="11">
        <v>-0.46483329041236299</v>
      </c>
      <c r="R20" s="11">
        <v>0.347666177751836</v>
      </c>
      <c r="S20" s="11">
        <v>294.3</v>
      </c>
      <c r="T20" s="11">
        <v>21.998022374626998</v>
      </c>
      <c r="U20" s="11">
        <v>0.98599999999999999</v>
      </c>
      <c r="V20" s="12">
        <v>9.4003212620716904E-18</v>
      </c>
      <c r="W20" s="11">
        <v>-0.63870966434478704</v>
      </c>
      <c r="X20" s="11">
        <v>-0.17597292363643599</v>
      </c>
      <c r="Y20" s="11">
        <v>-0.99641257524490301</v>
      </c>
      <c r="Z20" s="13">
        <v>-0.57177031040191595</v>
      </c>
    </row>
    <row r="21" spans="2:26 16384:16384" x14ac:dyDescent="0.3">
      <c r="B21" s="3" t="s">
        <v>42</v>
      </c>
      <c r="C21" s="11">
        <v>311.39999999999998</v>
      </c>
      <c r="D21" s="11">
        <v>39.283229290789897</v>
      </c>
      <c r="E21" s="11">
        <v>0.98999999986583298</v>
      </c>
      <c r="F21" s="11">
        <v>0.99999996645826605</v>
      </c>
      <c r="G21" s="11">
        <v>0.30514475703239402</v>
      </c>
      <c r="H21" s="11">
        <v>0.89567309617996205</v>
      </c>
      <c r="I21" s="11">
        <v>0.27166503667831399</v>
      </c>
      <c r="J21" s="11">
        <v>0.78941959142684903</v>
      </c>
      <c r="K21" s="11">
        <v>304.45000000001198</v>
      </c>
      <c r="L21" s="11">
        <v>0.98704528955936199</v>
      </c>
      <c r="M21" s="11">
        <v>0.26365459952648002</v>
      </c>
      <c r="N21" s="11">
        <v>32.281190805346803</v>
      </c>
      <c r="O21" s="11">
        <v>-6.8359978719703896E-2</v>
      </c>
      <c r="P21" s="11">
        <v>0.339806296825795</v>
      </c>
      <c r="Q21" s="11">
        <v>-0.37886722596709599</v>
      </c>
      <c r="R21" s="11">
        <v>0.207020172803352</v>
      </c>
      <c r="S21" s="11">
        <v>298.39999999999998</v>
      </c>
      <c r="T21" s="11">
        <v>26.0750927433504</v>
      </c>
      <c r="U21" s="11">
        <v>0.98599999999999999</v>
      </c>
      <c r="V21" s="12">
        <v>2.5759385851248699E-17</v>
      </c>
      <c r="W21" s="11">
        <v>-0.66821092367172197</v>
      </c>
      <c r="X21" s="11">
        <v>-0.25256124138831998</v>
      </c>
      <c r="Y21" s="11">
        <v>-0.86454343795776301</v>
      </c>
      <c r="Z21" s="13">
        <v>-0.31898686289787198</v>
      </c>
    </row>
    <row r="22" spans="2:26 16384:16384" x14ac:dyDescent="0.3">
      <c r="B22" s="4" t="s">
        <v>43</v>
      </c>
      <c r="C22" s="8">
        <v>312.35000000000002</v>
      </c>
      <c r="D22" s="8">
        <v>40.243159443694999</v>
      </c>
      <c r="E22" s="8">
        <v>0.98999999984505105</v>
      </c>
      <c r="F22" s="8">
        <v>0.99999996126289603</v>
      </c>
      <c r="G22" s="8">
        <v>0.31132560968398998</v>
      </c>
      <c r="H22" s="8">
        <v>0.846332967281341</v>
      </c>
      <c r="I22" s="8">
        <v>0.39851024746894798</v>
      </c>
      <c r="J22" s="8">
        <v>0.76786255836486805</v>
      </c>
      <c r="K22" s="8">
        <v>303.89999999994501</v>
      </c>
      <c r="L22" s="8">
        <v>0.98713673013685099</v>
      </c>
      <c r="M22" s="8">
        <v>0.27928673969418</v>
      </c>
      <c r="N22" s="8">
        <v>31.7186142597558</v>
      </c>
      <c r="O22" s="8">
        <v>-3.31857849688795E-2</v>
      </c>
      <c r="P22" s="8">
        <v>0.31639729422601398</v>
      </c>
      <c r="Q22" s="8">
        <v>-0.36323335504906801</v>
      </c>
      <c r="R22" s="8">
        <v>0.16793353553495199</v>
      </c>
      <c r="S22" s="8">
        <v>299.3</v>
      </c>
      <c r="T22" s="8">
        <v>27.124579122446999</v>
      </c>
      <c r="U22" s="8">
        <v>0.98599999999999999</v>
      </c>
      <c r="V22" s="9">
        <v>1.33350370145168E-20</v>
      </c>
      <c r="W22" s="8">
        <v>-0.62468934059143</v>
      </c>
      <c r="X22" s="8">
        <v>-0.289328932762146</v>
      </c>
      <c r="Y22" s="8">
        <v>-0.76588833332061701</v>
      </c>
      <c r="Z22" s="10">
        <v>-0.49949938058853099</v>
      </c>
    </row>
    <row r="23" spans="2:26 16384:16384" x14ac:dyDescent="0.3">
      <c r="B23" s="4" t="s">
        <v>44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0"/>
    </row>
    <row r="24" spans="2:26 16384:16384" x14ac:dyDescent="0.3">
      <c r="B24" s="3" t="s">
        <v>45</v>
      </c>
      <c r="C24" s="11">
        <v>307.45</v>
      </c>
      <c r="D24" s="11">
        <v>35.308967164277398</v>
      </c>
      <c r="E24" s="11">
        <v>0.99000000001982302</v>
      </c>
      <c r="F24" s="11">
        <v>1.0000000049559701</v>
      </c>
      <c r="G24" s="11">
        <v>0.385528534650802</v>
      </c>
      <c r="H24" s="11">
        <v>0.88893002271652199</v>
      </c>
      <c r="I24" s="11">
        <v>0.48633879423141402</v>
      </c>
      <c r="J24" s="11">
        <v>0.93460488319396895</v>
      </c>
      <c r="K24" s="11">
        <v>300.39999999994399</v>
      </c>
      <c r="L24" s="11">
        <v>0.98707572448562397</v>
      </c>
      <c r="M24" s="11">
        <v>0.26950875205034402</v>
      </c>
      <c r="N24" s="11">
        <v>28.216279068259499</v>
      </c>
      <c r="O24" s="11">
        <v>-3.8830245728575098E-3</v>
      </c>
      <c r="P24" s="11">
        <v>0.269532649868024</v>
      </c>
      <c r="Q24" s="11">
        <v>-0.33982017641514001</v>
      </c>
      <c r="R24" s="11">
        <v>0.121091345226047</v>
      </c>
      <c r="S24" s="11">
        <v>294.10000000000002</v>
      </c>
      <c r="T24" s="11">
        <v>21.927025928267199</v>
      </c>
      <c r="U24" s="11">
        <v>0.98599999999999999</v>
      </c>
      <c r="V24" s="12">
        <v>3.0120181774053298E-17</v>
      </c>
      <c r="W24" s="11">
        <v>-0.95491802692413297</v>
      </c>
      <c r="X24" s="11">
        <v>-0.40236219763755798</v>
      </c>
      <c r="Y24" s="11">
        <v>-0.76593935489654497</v>
      </c>
      <c r="Z24" s="13">
        <v>-0.64937371015548695</v>
      </c>
      <c r="XFD24" s="1">
        <f>AVERAGE(C24:XFC24)</f>
        <v>41.316857765897709</v>
      </c>
    </row>
    <row r="25" spans="2:26 16384:16384" x14ac:dyDescent="0.3">
      <c r="B25" s="3" t="s">
        <v>46</v>
      </c>
      <c r="C25" s="11">
        <v>311.2</v>
      </c>
      <c r="D25" s="11">
        <v>39.083116342503203</v>
      </c>
      <c r="E25" s="11">
        <v>0.98999999990996201</v>
      </c>
      <c r="F25" s="11">
        <v>0.99999997749070102</v>
      </c>
      <c r="G25" s="11">
        <v>0.38647958636283802</v>
      </c>
      <c r="H25" s="11">
        <v>0.88505226373672397</v>
      </c>
      <c r="I25" s="11">
        <v>0.51121073961257901</v>
      </c>
      <c r="J25" s="11">
        <v>0.83400267362594604</v>
      </c>
      <c r="K25" s="11">
        <v>302</v>
      </c>
      <c r="L25" s="11">
        <v>0.98710627473307899</v>
      </c>
      <c r="M25" s="11">
        <v>0.275377539368442</v>
      </c>
      <c r="N25" s="11">
        <v>29.835068586931101</v>
      </c>
      <c r="O25" s="11">
        <v>-3.89643647999587E-3</v>
      </c>
      <c r="P25" s="11">
        <v>0.26169806784073302</v>
      </c>
      <c r="Q25" s="11">
        <v>-0.33207025112152899</v>
      </c>
      <c r="R25" s="11">
        <v>0.113259800342394</v>
      </c>
      <c r="S25" s="11">
        <v>297.2</v>
      </c>
      <c r="T25" s="11">
        <v>24.987413291341198</v>
      </c>
      <c r="U25" s="11">
        <v>0.98599999999999999</v>
      </c>
      <c r="V25" s="12">
        <v>1.46502074619711E-17</v>
      </c>
      <c r="W25" s="11">
        <v>-0.83664923906326205</v>
      </c>
      <c r="X25" s="11">
        <v>-0.42631578445434498</v>
      </c>
      <c r="Y25" s="11">
        <v>-0.75063961744308405</v>
      </c>
      <c r="Z25" s="13">
        <v>-0.409863591194152</v>
      </c>
    </row>
    <row r="26" spans="2:26 16384:16384" x14ac:dyDescent="0.3">
      <c r="B26" s="4" t="s">
        <v>47</v>
      </c>
      <c r="C26" s="14">
        <v>305.25</v>
      </c>
      <c r="D26" s="14">
        <v>33.085960879335701</v>
      </c>
      <c r="E26" s="14">
        <v>0.99000000005909705</v>
      </c>
      <c r="F26" s="14">
        <v>1.0000000147744701</v>
      </c>
      <c r="G26" s="14">
        <v>0.40042269229888899</v>
      </c>
      <c r="H26" s="14">
        <v>0.85522681474685602</v>
      </c>
      <c r="I26" s="14">
        <v>0.488439291715621</v>
      </c>
      <c r="J26" s="14">
        <v>0.79931974411010698</v>
      </c>
      <c r="K26" s="14">
        <v>298.39999999993699</v>
      </c>
      <c r="L26" s="14">
        <v>0.98722832496103397</v>
      </c>
      <c r="M26" s="14">
        <v>0.300773079130007</v>
      </c>
      <c r="N26" s="14">
        <v>26.1600513187052</v>
      </c>
      <c r="O26" s="14">
        <v>-1.16679673795106E-2</v>
      </c>
      <c r="P26" s="14">
        <v>0.26951820216007499</v>
      </c>
      <c r="Q26" s="14">
        <v>-0.324236535475243</v>
      </c>
      <c r="R26" s="14">
        <v>0.121044762344778</v>
      </c>
      <c r="S26" s="14">
        <v>293.60000000000002</v>
      </c>
      <c r="T26" s="14">
        <v>21.4183698704012</v>
      </c>
      <c r="U26" s="14">
        <v>0.98599999999999999</v>
      </c>
      <c r="V26" s="15">
        <v>6.2546841340914706E-17</v>
      </c>
      <c r="W26" s="14">
        <v>-0.85288965702056796</v>
      </c>
      <c r="X26" s="14">
        <v>-0.45930233597755399</v>
      </c>
      <c r="Y26" s="14">
        <v>-0.76257807016372603</v>
      </c>
      <c r="Z26" s="16">
        <v>-0.49214792251586897</v>
      </c>
    </row>
    <row r="27" spans="2:26 16384:16384" x14ac:dyDescent="0.3"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  <c r="V27" s="18"/>
      <c r="W27" s="17"/>
      <c r="X27" s="17"/>
      <c r="Y27" s="17"/>
      <c r="Z27" s="17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3:Y45"/>
  <sheetViews>
    <sheetView topLeftCell="P1" workbookViewId="0">
      <selection activeCell="B20" sqref="B20"/>
    </sheetView>
  </sheetViews>
  <sheetFormatPr defaultRowHeight="14.4" x14ac:dyDescent="0.3"/>
  <cols>
    <col min="1" max="1" width="10.88671875" bestFit="1" customWidth="1"/>
    <col min="2" max="2" width="10.109375" bestFit="1" customWidth="1"/>
    <col min="3" max="3" width="12" bestFit="1" customWidth="1"/>
    <col min="4" max="4" width="10.88671875" bestFit="1" customWidth="1"/>
    <col min="5" max="5" width="12" bestFit="1" customWidth="1"/>
    <col min="6" max="6" width="12" customWidth="1"/>
    <col min="7" max="7" width="12" bestFit="1" customWidth="1"/>
    <col min="8" max="8" width="12.44140625" bestFit="1" customWidth="1"/>
    <col min="9" max="9" width="12.5546875" bestFit="1" customWidth="1"/>
    <col min="10" max="13" width="12" bestFit="1" customWidth="1"/>
    <col min="14" max="14" width="12.6640625" bestFit="1" customWidth="1"/>
    <col min="15" max="15" width="12" customWidth="1"/>
    <col min="16" max="16" width="13.5546875" bestFit="1" customWidth="1"/>
    <col min="17" max="17" width="13.44140625" bestFit="1" customWidth="1"/>
    <col min="18" max="19" width="12" bestFit="1" customWidth="1"/>
    <col min="20" max="20" width="10.5546875" bestFit="1" customWidth="1"/>
    <col min="21" max="21" width="12" bestFit="1" customWidth="1"/>
    <col min="22" max="24" width="12.6640625" bestFit="1" customWidth="1"/>
    <col min="25" max="25" width="12.6640625" customWidth="1"/>
    <col min="26" max="26" width="12.6640625" bestFit="1" customWidth="1"/>
    <col min="27" max="28" width="12.6640625" customWidth="1"/>
    <col min="29" max="102" width="6.33203125" customWidth="1"/>
    <col min="103" max="258" width="7.33203125" customWidth="1"/>
  </cols>
  <sheetData>
    <row r="3" spans="1:25" ht="15" thickBot="1" x14ac:dyDescent="0.35">
      <c r="A3" s="19" t="s">
        <v>48</v>
      </c>
      <c r="B3" s="19" t="s">
        <v>23</v>
      </c>
      <c r="C3" s="19" t="s">
        <v>22</v>
      </c>
      <c r="D3" s="19" t="s">
        <v>21</v>
      </c>
      <c r="E3" s="19" t="s">
        <v>20</v>
      </c>
      <c r="F3" s="19" t="s">
        <v>19</v>
      </c>
      <c r="G3" s="19" t="s">
        <v>18</v>
      </c>
      <c r="H3" s="19" t="s">
        <v>17</v>
      </c>
      <c r="I3" s="19" t="s">
        <v>16</v>
      </c>
      <c r="J3" s="19" t="s">
        <v>15</v>
      </c>
      <c r="K3" s="19" t="s">
        <v>14</v>
      </c>
      <c r="L3" s="19" t="s">
        <v>13</v>
      </c>
      <c r="M3" s="19" t="s">
        <v>12</v>
      </c>
      <c r="N3" s="19" t="s">
        <v>11</v>
      </c>
      <c r="O3" s="19" t="s">
        <v>10</v>
      </c>
      <c r="P3" s="19" t="s">
        <v>9</v>
      </c>
      <c r="Q3" s="19" t="s">
        <v>8</v>
      </c>
      <c r="R3" s="19" t="s">
        <v>7</v>
      </c>
      <c r="S3" s="19" t="s">
        <v>6</v>
      </c>
      <c r="T3" s="19" t="s">
        <v>5</v>
      </c>
      <c r="U3" s="19" t="s">
        <v>4</v>
      </c>
      <c r="V3" s="19" t="s">
        <v>3</v>
      </c>
      <c r="W3" s="19" t="s">
        <v>2</v>
      </c>
      <c r="X3" s="19" t="s">
        <v>1</v>
      </c>
      <c r="Y3" s="20" t="s">
        <v>0</v>
      </c>
    </row>
    <row r="4" spans="1:25" ht="15" thickTop="1" x14ac:dyDescent="0.3">
      <c r="A4" s="21" t="s">
        <v>55</v>
      </c>
      <c r="B4" s="21">
        <v>304.39999999999998</v>
      </c>
      <c r="C4" s="21">
        <v>32.240823511753</v>
      </c>
      <c r="D4" s="21">
        <v>0.99000000012166556</v>
      </c>
      <c r="E4" s="21">
        <v>1.0000000304165249</v>
      </c>
      <c r="F4" s="21">
        <v>0.40867647528648349</v>
      </c>
      <c r="G4" s="21">
        <v>0.857315152883529</v>
      </c>
      <c r="H4" s="21">
        <v>0.39462590217590249</v>
      </c>
      <c r="I4" s="21">
        <v>0.80793261528015048</v>
      </c>
      <c r="J4" s="21">
        <v>296.76627345459747</v>
      </c>
      <c r="K4" s="21">
        <v>0.98699938043086544</v>
      </c>
      <c r="L4" s="21">
        <v>0.24996513799940401</v>
      </c>
      <c r="M4" s="21">
        <v>24.564941680942951</v>
      </c>
      <c r="N4" s="21">
        <f>AVERAGE(Data!O3:O4)</f>
        <v>1.6073036657394913E-5</v>
      </c>
      <c r="O4" s="21">
        <v>0.238264431506298</v>
      </c>
      <c r="P4" s="21">
        <v>-0.30076628938981098</v>
      </c>
      <c r="Q4" s="21">
        <v>0.10543603752167145</v>
      </c>
      <c r="R4" s="21">
        <v>292.05</v>
      </c>
      <c r="S4" s="21">
        <v>19.860862378255749</v>
      </c>
      <c r="T4" s="21">
        <v>0.98599999999999999</v>
      </c>
      <c r="U4" s="21">
        <v>5.4319525467540898E-17</v>
      </c>
      <c r="V4" s="21">
        <v>-0.74665328860282898</v>
      </c>
      <c r="W4" s="21">
        <v>-0.3836434781551355</v>
      </c>
      <c r="X4" s="21">
        <v>-0.78169193863868702</v>
      </c>
      <c r="Y4" s="22">
        <v>-0.54092302918434099</v>
      </c>
    </row>
    <row r="5" spans="1:25" x14ac:dyDescent="0.3">
      <c r="A5" s="23" t="s">
        <v>56</v>
      </c>
      <c r="B5" s="23">
        <v>307.05</v>
      </c>
      <c r="C5" s="23">
        <v>34.8943812172189</v>
      </c>
      <c r="D5" s="23">
        <v>0.98999999995529797</v>
      </c>
      <c r="E5" s="23">
        <v>0.99999998882459895</v>
      </c>
      <c r="F5" s="23">
        <v>0.44450582563877095</v>
      </c>
      <c r="G5" s="23">
        <v>0.85858052968978849</v>
      </c>
      <c r="H5" s="23">
        <v>0.50671169161796503</v>
      </c>
      <c r="I5" s="23">
        <v>0.80672711133956898</v>
      </c>
      <c r="J5" s="23">
        <v>300.34999999995102</v>
      </c>
      <c r="K5" s="23">
        <v>0.98698411634615502</v>
      </c>
      <c r="L5" s="23">
        <v>0.24704773073826902</v>
      </c>
      <c r="M5" s="23">
        <v>28.157245334088049</v>
      </c>
      <c r="N5" s="23">
        <v>1.5691470365927301E-2</v>
      </c>
      <c r="O5" s="23">
        <v>0.2148273058416835</v>
      </c>
      <c r="P5" s="23">
        <v>-0.29687577380843599</v>
      </c>
      <c r="Q5" s="23">
        <v>7.0266383175744851E-2</v>
      </c>
      <c r="R5" s="23">
        <v>293.29999999999995</v>
      </c>
      <c r="S5" s="23">
        <v>21.016299626716251</v>
      </c>
      <c r="T5" s="23">
        <v>0.98599999999999999</v>
      </c>
      <c r="U5" s="23">
        <v>5.2678756930985152E-17</v>
      </c>
      <c r="V5" s="23">
        <v>-0.80981120467185952</v>
      </c>
      <c r="W5" s="23">
        <v>-0.42403167486190702</v>
      </c>
      <c r="X5" s="23">
        <v>-0.80236348509788491</v>
      </c>
      <c r="Y5" s="24">
        <v>-0.4471193104982375</v>
      </c>
    </row>
    <row r="6" spans="1:25" x14ac:dyDescent="0.3">
      <c r="A6" s="21" t="s">
        <v>57</v>
      </c>
      <c r="B6" s="21">
        <v>315.25</v>
      </c>
      <c r="C6" s="21">
        <v>43.145269705729703</v>
      </c>
      <c r="D6" s="21">
        <v>0.99000000007463695</v>
      </c>
      <c r="E6" s="21">
        <v>1.0000000186593014</v>
      </c>
      <c r="F6" s="21">
        <v>0.40360090136527949</v>
      </c>
      <c r="G6" s="21">
        <v>0.849173784255981</v>
      </c>
      <c r="H6" s="21">
        <v>0.38140666484832697</v>
      </c>
      <c r="I6" s="21">
        <v>0.73655363917350747</v>
      </c>
      <c r="J6" s="21">
        <v>306.19157808702198</v>
      </c>
      <c r="K6" s="21">
        <v>0.98698403196853657</v>
      </c>
      <c r="L6" s="21">
        <v>0.2450955632889355</v>
      </c>
      <c r="M6" s="21">
        <v>33.9994428761905</v>
      </c>
      <c r="N6" s="21">
        <v>1.3685962788495751E-2</v>
      </c>
      <c r="O6" s="21">
        <v>0.22263448633969202</v>
      </c>
      <c r="P6" s="21">
        <v>-0.30471356956571249</v>
      </c>
      <c r="Q6" s="21">
        <v>7.8076829882336607E-2</v>
      </c>
      <c r="R6" s="21">
        <v>296.75</v>
      </c>
      <c r="S6" s="21">
        <v>24.472256416536201</v>
      </c>
      <c r="T6" s="21">
        <v>0.98599999999999999</v>
      </c>
      <c r="U6" s="21">
        <v>7.6110079115105699E-17</v>
      </c>
      <c r="V6" s="21">
        <v>-0.53549376130103998</v>
      </c>
      <c r="W6" s="21">
        <v>-0.39996357262134502</v>
      </c>
      <c r="X6" s="21">
        <v>-0.79680350422859147</v>
      </c>
      <c r="Y6" s="22">
        <v>-0.41710975766181901</v>
      </c>
    </row>
    <row r="7" spans="1:25" x14ac:dyDescent="0.3">
      <c r="A7" s="23" t="s">
        <v>58</v>
      </c>
      <c r="B7" s="23">
        <v>321.54999999999995</v>
      </c>
      <c r="C7" s="23">
        <v>49.52574516459395</v>
      </c>
      <c r="D7" s="23">
        <v>0.98999999996374854</v>
      </c>
      <c r="E7" s="23">
        <v>0.99999999093733605</v>
      </c>
      <c r="F7" s="23">
        <v>0.32738028466701452</v>
      </c>
      <c r="G7" s="23">
        <v>0.86075767874717701</v>
      </c>
      <c r="H7" s="23">
        <v>0.260155320167541</v>
      </c>
      <c r="I7" s="23">
        <v>0.76912465691566401</v>
      </c>
      <c r="J7" s="23">
        <v>312.67474265032854</v>
      </c>
      <c r="K7" s="23">
        <v>0.98667890681199255</v>
      </c>
      <c r="L7" s="23">
        <v>0.16893239132077301</v>
      </c>
      <c r="M7" s="23">
        <v>40.561778540907298</v>
      </c>
      <c r="N7" s="23">
        <v>3.9018988728175804E-3</v>
      </c>
      <c r="O7" s="23">
        <v>0.23044274715789048</v>
      </c>
      <c r="P7" s="23">
        <v>-0.31640641294412952</v>
      </c>
      <c r="Q7" s="23">
        <v>8.9800503067200999E-2</v>
      </c>
      <c r="R7" s="23">
        <v>301.92500000000001</v>
      </c>
      <c r="S7" s="23">
        <v>29.6779498651245</v>
      </c>
      <c r="T7" s="23">
        <v>0.98599999999999999</v>
      </c>
      <c r="U7" s="23">
        <v>2.7652689963642614E-17</v>
      </c>
      <c r="V7" s="23">
        <v>-0.55843031406402543</v>
      </c>
      <c r="W7" s="23">
        <v>-0.212087027728557</v>
      </c>
      <c r="X7" s="23">
        <v>-0.86182504892349199</v>
      </c>
      <c r="Y7" s="24">
        <v>-0.36821819841861703</v>
      </c>
    </row>
    <row r="8" spans="1:25" x14ac:dyDescent="0.3">
      <c r="A8" s="21" t="s">
        <v>59</v>
      </c>
      <c r="B8" s="21">
        <v>322.05</v>
      </c>
      <c r="C8" s="21">
        <v>50.032357828053847</v>
      </c>
      <c r="D8" s="21">
        <v>0.99000000000001354</v>
      </c>
      <c r="E8" s="21">
        <v>1.0000000000034195</v>
      </c>
      <c r="F8" s="21">
        <v>0.32727082073688452</v>
      </c>
      <c r="G8" s="21">
        <v>0.81536120176315252</v>
      </c>
      <c r="H8" s="21">
        <v>0.18246714770793848</v>
      </c>
      <c r="I8" s="21">
        <v>0.71659189462661699</v>
      </c>
      <c r="J8" s="21">
        <v>312.92623906486148</v>
      </c>
      <c r="K8" s="21">
        <v>0.98661789374661302</v>
      </c>
      <c r="L8" s="21">
        <v>0.15134631014522451</v>
      </c>
      <c r="M8" s="21">
        <v>40.812480396693502</v>
      </c>
      <c r="N8" s="21">
        <v>-1.4610507218349974E-5</v>
      </c>
      <c r="O8" s="21">
        <v>0.2226536934601705</v>
      </c>
      <c r="P8" s="21">
        <v>-0.30468150982161252</v>
      </c>
      <c r="Q8" s="21">
        <v>0.10154285013669126</v>
      </c>
      <c r="R8" s="21">
        <v>302.85000000000002</v>
      </c>
      <c r="S8" s="21">
        <v>30.719253888980901</v>
      </c>
      <c r="T8" s="21">
        <v>0.98599999999999999</v>
      </c>
      <c r="U8" s="21">
        <v>3.0148074744785201E-17</v>
      </c>
      <c r="V8" s="21">
        <v>-0.54528841376304549</v>
      </c>
      <c r="W8" s="21">
        <v>-0.16219985485076849</v>
      </c>
      <c r="X8" s="21">
        <v>-0.75213968753814653</v>
      </c>
      <c r="Y8" s="22">
        <v>-0.40958866477012551</v>
      </c>
    </row>
    <row r="9" spans="1:25" x14ac:dyDescent="0.3">
      <c r="A9" s="23" t="s">
        <v>60</v>
      </c>
      <c r="B9" s="23">
        <v>302.64999999999998</v>
      </c>
      <c r="C9" s="23">
        <v>30.520393415374951</v>
      </c>
      <c r="D9" s="23">
        <v>0.98999999999694044</v>
      </c>
      <c r="E9" s="23">
        <v>0.99999999923532401</v>
      </c>
      <c r="F9" s="23">
        <v>0.29989010840654351</v>
      </c>
      <c r="G9" s="23">
        <v>0.87016755342483454</v>
      </c>
      <c r="H9" s="23">
        <v>9.3261493369936707E-2</v>
      </c>
      <c r="I9" s="23">
        <v>0.69657742977142301</v>
      </c>
      <c r="J9" s="23">
        <v>297.65000000000452</v>
      </c>
      <c r="K9" s="23">
        <v>0.98660267024685555</v>
      </c>
      <c r="L9" s="23">
        <v>0.15143680096589501</v>
      </c>
      <c r="M9" s="23">
        <v>25.427597509310452</v>
      </c>
      <c r="N9" s="23">
        <v>-5.6626289454647302E-2</v>
      </c>
      <c r="O9" s="23">
        <v>0.29589721345110498</v>
      </c>
      <c r="P9" s="23">
        <v>-0.34083018829169454</v>
      </c>
      <c r="Q9" s="23">
        <v>0.21581758717739052</v>
      </c>
      <c r="R9" s="23">
        <v>293.45</v>
      </c>
      <c r="S9" s="23">
        <v>21.189198081638551</v>
      </c>
      <c r="T9" s="23">
        <v>0.98599999999999999</v>
      </c>
      <c r="U9" s="23">
        <v>7.5754027182472288E-18</v>
      </c>
      <c r="V9" s="23">
        <v>-0.46596264839172352</v>
      </c>
      <c r="W9" s="23">
        <v>-7.2838589549064151E-2</v>
      </c>
      <c r="X9" s="23">
        <v>-0.82601726055145197</v>
      </c>
      <c r="Y9" s="24">
        <v>-0.3320564925670621</v>
      </c>
    </row>
    <row r="10" spans="1:25" x14ac:dyDescent="0.3">
      <c r="A10" s="21" t="s">
        <v>61</v>
      </c>
      <c r="B10" s="21">
        <v>302.85000000000002</v>
      </c>
      <c r="C10" s="21">
        <v>30.687876925324304</v>
      </c>
      <c r="D10" s="21">
        <v>0.989999999932068</v>
      </c>
      <c r="E10" s="21">
        <v>0.99999998301703608</v>
      </c>
      <c r="F10" s="21">
        <v>0.43433420360088298</v>
      </c>
      <c r="G10" s="21">
        <v>0.99964690208435047</v>
      </c>
      <c r="H10" s="21">
        <v>0.47085613012313798</v>
      </c>
      <c r="I10" s="21">
        <v>0.85303032398223855</v>
      </c>
      <c r="J10" s="21">
        <v>298.39996973846746</v>
      </c>
      <c r="K10" s="21">
        <v>0.98680107447261001</v>
      </c>
      <c r="L10" s="21">
        <v>0.20214972528597852</v>
      </c>
      <c r="M10" s="21">
        <v>26.16225474848715</v>
      </c>
      <c r="N10" s="21">
        <v>-0.12500030015345695</v>
      </c>
      <c r="O10" s="21">
        <v>0.41013554555783499</v>
      </c>
      <c r="P10" s="21">
        <v>-0.40627359195000051</v>
      </c>
      <c r="Q10" s="21">
        <v>0.31631446099684046</v>
      </c>
      <c r="R10" s="21">
        <v>290.60000000000002</v>
      </c>
      <c r="S10" s="21">
        <v>18.282700805454549</v>
      </c>
      <c r="T10" s="21">
        <v>0.98599999999999999</v>
      </c>
      <c r="U10" s="21">
        <v>3.1697721331507146E-19</v>
      </c>
      <c r="V10" s="21">
        <v>-0.76278713345527605</v>
      </c>
      <c r="W10" s="21">
        <v>-5.9859716799109966E-2</v>
      </c>
      <c r="X10" s="21">
        <v>-0.995135217905044</v>
      </c>
      <c r="Y10" s="22">
        <v>-0.53486129641532854</v>
      </c>
    </row>
    <row r="11" spans="1:25" x14ac:dyDescent="0.3">
      <c r="A11" s="23" t="s">
        <v>62</v>
      </c>
      <c r="B11" s="23">
        <v>304.10000000000002</v>
      </c>
      <c r="C11" s="23">
        <v>31.938492089337501</v>
      </c>
      <c r="D11" s="23">
        <v>0.99000000009962996</v>
      </c>
      <c r="E11" s="23">
        <v>1.0000000249077099</v>
      </c>
      <c r="F11" s="23">
        <v>0.55151516199111905</v>
      </c>
      <c r="G11" s="23">
        <v>0.99869930744171098</v>
      </c>
      <c r="H11" s="23">
        <v>0.81313133239746005</v>
      </c>
      <c r="I11" s="23">
        <v>0.82339179515838601</v>
      </c>
      <c r="J11" s="23">
        <v>299.5</v>
      </c>
      <c r="K11" s="23">
        <v>0.98750309022178995</v>
      </c>
      <c r="L11" s="23">
        <v>0.378870023373442</v>
      </c>
      <c r="M11" s="23">
        <v>27.2829536786438</v>
      </c>
      <c r="N11" s="23">
        <v>-0.10543369614643</v>
      </c>
      <c r="O11" s="23">
        <v>0.36323597052093198</v>
      </c>
      <c r="P11" s="23">
        <v>-0.38665870314406697</v>
      </c>
      <c r="Q11" s="23">
        <v>0.26946911268007601</v>
      </c>
      <c r="R11" s="23">
        <v>295.3</v>
      </c>
      <c r="S11" s="23">
        <v>22.918996071526401</v>
      </c>
      <c r="T11" s="23">
        <v>0.98599999999999999</v>
      </c>
      <c r="U11" s="23">
        <v>1.85903981444868E-18</v>
      </c>
      <c r="V11" s="23">
        <v>-0.75267004966735795</v>
      </c>
      <c r="W11" s="23">
        <v>-0.65094339847564697</v>
      </c>
      <c r="X11" s="23">
        <v>-0.98778861761093095</v>
      </c>
      <c r="Y11" s="24">
        <v>-0.48611110448837203</v>
      </c>
    </row>
    <row r="12" spans="1:25" x14ac:dyDescent="0.3">
      <c r="A12" s="21" t="s">
        <v>63</v>
      </c>
      <c r="B12" s="21">
        <v>303.14999999999998</v>
      </c>
      <c r="C12" s="21">
        <v>30.97312334256835</v>
      </c>
      <c r="D12" s="21">
        <v>0.99</v>
      </c>
      <c r="E12" s="21">
        <v>1</v>
      </c>
      <c r="F12" s="21">
        <v>0.3462808877229685</v>
      </c>
      <c r="G12" s="21">
        <v>1</v>
      </c>
      <c r="H12" s="21">
        <v>0.34164260327815948</v>
      </c>
      <c r="I12" s="21">
        <v>0.81725394725799549</v>
      </c>
      <c r="J12" s="21">
        <v>297.90000000004954</v>
      </c>
      <c r="K12" s="21">
        <v>0.98727376186118099</v>
      </c>
      <c r="L12" s="21">
        <v>0.31637757301402647</v>
      </c>
      <c r="M12" s="21">
        <v>25.656699687385601</v>
      </c>
      <c r="N12" s="21">
        <v>-0.12791339342687602</v>
      </c>
      <c r="O12" s="21">
        <v>0.46091525176419701</v>
      </c>
      <c r="P12" s="21">
        <v>-0.43749446562312649</v>
      </c>
      <c r="Q12" s="21">
        <v>0.33199634693310898</v>
      </c>
      <c r="R12" s="21">
        <v>293.8</v>
      </c>
      <c r="S12" s="21">
        <v>21.468276284935499</v>
      </c>
      <c r="T12" s="21">
        <v>0.98599999999999999</v>
      </c>
      <c r="U12" s="21">
        <v>5.4178624627992049E-18</v>
      </c>
      <c r="V12" s="21">
        <v>-0.61744257807731606</v>
      </c>
      <c r="W12" s="21">
        <v>-0.2258069738745685</v>
      </c>
      <c r="X12" s="21">
        <v>-0.99574756622314409</v>
      </c>
      <c r="Y12" s="22">
        <v>-0.50200089812278703</v>
      </c>
    </row>
    <row r="13" spans="1:25" x14ac:dyDescent="0.3">
      <c r="A13" s="23" t="s">
        <v>64</v>
      </c>
      <c r="B13" s="23">
        <v>311.875</v>
      </c>
      <c r="C13" s="23">
        <v>39.763194367242448</v>
      </c>
      <c r="D13" s="23">
        <v>0.98999999985544207</v>
      </c>
      <c r="E13" s="23">
        <v>0.99999996386058099</v>
      </c>
      <c r="F13" s="23">
        <v>0.308235183358192</v>
      </c>
      <c r="G13" s="23">
        <v>0.87100303173065152</v>
      </c>
      <c r="H13" s="23">
        <v>0.33508764207363095</v>
      </c>
      <c r="I13" s="23">
        <v>0.77864107489585854</v>
      </c>
      <c r="J13" s="23">
        <v>304.17499999997847</v>
      </c>
      <c r="K13" s="23">
        <v>0.98709100984810649</v>
      </c>
      <c r="L13" s="23">
        <v>0.27147066961033001</v>
      </c>
      <c r="M13" s="23">
        <v>31.999902532551303</v>
      </c>
      <c r="N13" s="23">
        <v>-5.0772881844291698E-2</v>
      </c>
      <c r="O13" s="23">
        <v>0.32810179552590446</v>
      </c>
      <c r="P13" s="23">
        <v>-0.37105029050808203</v>
      </c>
      <c r="Q13" s="23">
        <v>0.187476854169152</v>
      </c>
      <c r="R13" s="23">
        <v>298.85000000000002</v>
      </c>
      <c r="S13" s="23">
        <v>26.599835932898699</v>
      </c>
      <c r="T13" s="23">
        <v>0.98599999999999999</v>
      </c>
      <c r="U13" s="23">
        <v>1.2886360444131608E-17</v>
      </c>
      <c r="V13" s="23">
        <v>-0.64645013213157598</v>
      </c>
      <c r="W13" s="23">
        <v>-0.27094508707523302</v>
      </c>
      <c r="X13" s="23">
        <v>-0.81521588563919001</v>
      </c>
      <c r="Y13" s="24">
        <v>-0.40924312174320149</v>
      </c>
    </row>
    <row r="14" spans="1:25" x14ac:dyDescent="0.3">
      <c r="A14" s="21" t="s">
        <v>65</v>
      </c>
      <c r="B14" s="21">
        <v>307.45</v>
      </c>
      <c r="C14" s="21">
        <v>35.308967164277398</v>
      </c>
      <c r="D14" s="21">
        <v>0.99000000001982302</v>
      </c>
      <c r="E14" s="21">
        <v>1.0000000049559701</v>
      </c>
      <c r="F14" s="21">
        <v>0.385528534650802</v>
      </c>
      <c r="G14" s="21">
        <v>0.88893002271652199</v>
      </c>
      <c r="H14" s="21">
        <v>0.48633879423141402</v>
      </c>
      <c r="I14" s="21">
        <v>0.93460488319396895</v>
      </c>
      <c r="J14" s="21">
        <v>300.39999999994399</v>
      </c>
      <c r="K14" s="21">
        <v>0.98707572448562397</v>
      </c>
      <c r="L14" s="21">
        <v>0.26950875205034402</v>
      </c>
      <c r="M14" s="21">
        <v>28.216279068259499</v>
      </c>
      <c r="N14" s="21">
        <v>-3.8830245728575098E-3</v>
      </c>
      <c r="O14" s="21">
        <v>0.269532649868024</v>
      </c>
      <c r="P14" s="21">
        <v>-0.33982017641514001</v>
      </c>
      <c r="Q14" s="21">
        <v>0.121091345226047</v>
      </c>
      <c r="R14" s="21">
        <v>294.10000000000002</v>
      </c>
      <c r="S14" s="21">
        <v>21.927025928267199</v>
      </c>
      <c r="T14" s="21">
        <v>0.98599999999999999</v>
      </c>
      <c r="U14" s="21">
        <v>3.0120181774053298E-17</v>
      </c>
      <c r="V14" s="21">
        <v>-0.95491802692413297</v>
      </c>
      <c r="W14" s="21">
        <v>-0.40236219763755798</v>
      </c>
      <c r="X14" s="21">
        <v>-0.76593935489654497</v>
      </c>
      <c r="Y14" s="22">
        <v>-0.64937371015548695</v>
      </c>
    </row>
    <row r="15" spans="1:25" ht="15" thickBot="1" x14ac:dyDescent="0.35">
      <c r="A15" s="25" t="s">
        <v>66</v>
      </c>
      <c r="B15" s="25">
        <v>308.22500000000002</v>
      </c>
      <c r="C15" s="25">
        <v>36.084538610919452</v>
      </c>
      <c r="D15" s="25">
        <v>0.98999999998452948</v>
      </c>
      <c r="E15" s="25">
        <v>0.99999999613258561</v>
      </c>
      <c r="F15" s="25">
        <v>0.39345113933086351</v>
      </c>
      <c r="G15" s="25">
        <v>0.87013953924178999</v>
      </c>
      <c r="H15" s="25">
        <v>0.49982501566409998</v>
      </c>
      <c r="I15" s="25">
        <v>0.81666120886802651</v>
      </c>
      <c r="J15" s="25">
        <v>300.1999999999685</v>
      </c>
      <c r="K15" s="25">
        <v>0.98716729984705642</v>
      </c>
      <c r="L15" s="25">
        <v>0.28807530924922453</v>
      </c>
      <c r="M15" s="25">
        <v>27.99755995281815</v>
      </c>
      <c r="N15" s="25">
        <v>-7.7822019297532352E-3</v>
      </c>
      <c r="O15" s="25">
        <v>0.26560813500040403</v>
      </c>
      <c r="P15" s="25">
        <v>-0.328153393298386</v>
      </c>
      <c r="Q15" s="25">
        <v>0.11715228134358599</v>
      </c>
      <c r="R15" s="25">
        <v>295.39999999999998</v>
      </c>
      <c r="S15" s="25">
        <v>23.202891580871199</v>
      </c>
      <c r="T15" s="25">
        <v>0.98599999999999999</v>
      </c>
      <c r="U15" s="25">
        <v>3.8598524401442903E-17</v>
      </c>
      <c r="V15" s="25">
        <v>-0.84476944804191501</v>
      </c>
      <c r="W15" s="25">
        <v>-0.44280906021594946</v>
      </c>
      <c r="X15" s="25">
        <v>-0.7566088438034051</v>
      </c>
      <c r="Y15" s="26">
        <v>-0.45100575685501049</v>
      </c>
    </row>
    <row r="16" spans="1:25" ht="15" thickTop="1" x14ac:dyDescent="0.3">
      <c r="A16" s="27"/>
      <c r="B16" s="27">
        <f t="shared" ref="B16:Y16" si="0">AVERAGE(B4:B15)</f>
        <v>309.21666666666664</v>
      </c>
      <c r="C16" s="27">
        <f t="shared" si="0"/>
        <v>37.092930278532826</v>
      </c>
      <c r="D16" s="27">
        <f t="shared" si="0"/>
        <v>0.99000000000031629</v>
      </c>
      <c r="E16" s="27">
        <f t="shared" si="0"/>
        <v>1.0000000000791989</v>
      </c>
      <c r="F16" s="27">
        <f t="shared" si="0"/>
        <v>0.38588912722965035</v>
      </c>
      <c r="G16" s="27">
        <f t="shared" si="0"/>
        <v>0.89498122533162405</v>
      </c>
      <c r="H16" s="27">
        <f t="shared" si="0"/>
        <v>0.39712581147129278</v>
      </c>
      <c r="I16" s="27">
        <f t="shared" si="0"/>
        <v>0.79642421503861716</v>
      </c>
      <c r="J16" s="27">
        <f t="shared" si="0"/>
        <v>302.26115024959773</v>
      </c>
      <c r="K16" s="27">
        <f t="shared" si="0"/>
        <v>0.98698158002394887</v>
      </c>
      <c r="L16" s="27">
        <f t="shared" si="0"/>
        <v>0.24502299892015389</v>
      </c>
      <c r="M16" s="27">
        <f t="shared" si="0"/>
        <v>30.069928000523188</v>
      </c>
      <c r="N16" s="27">
        <f t="shared" si="0"/>
        <v>-3.7010916080969423E-2</v>
      </c>
      <c r="O16" s="27">
        <f t="shared" si="0"/>
        <v>0.29352076883284467</v>
      </c>
      <c r="P16" s="27">
        <f t="shared" si="0"/>
        <v>-0.34447703039668315</v>
      </c>
      <c r="Q16" s="27">
        <f t="shared" si="0"/>
        <v>0.16703671602582051</v>
      </c>
      <c r="R16" s="27">
        <f t="shared" si="0"/>
        <v>295.69791666666669</v>
      </c>
      <c r="S16" s="27">
        <f t="shared" si="0"/>
        <v>23.444628905100476</v>
      </c>
      <c r="T16" s="27">
        <f t="shared" si="0"/>
        <v>0.9860000000000001</v>
      </c>
      <c r="U16" s="27">
        <f t="shared" si="0"/>
        <v>2.8140289587541466E-17</v>
      </c>
      <c r="V16" s="27">
        <f t="shared" si="0"/>
        <v>-0.68672308325767473</v>
      </c>
      <c r="W16" s="27">
        <f t="shared" si="0"/>
        <v>-0.30895755265373698</v>
      </c>
      <c r="X16" s="27">
        <f t="shared" si="0"/>
        <v>-0.84477303425470962</v>
      </c>
      <c r="Y16" s="28">
        <f t="shared" si="0"/>
        <v>-0.46230094507336572</v>
      </c>
    </row>
    <row r="45" spans="12:12" x14ac:dyDescent="0.3">
      <c r="L45" t="s">
        <v>71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3:Q28"/>
  <sheetViews>
    <sheetView workbookViewId="0">
      <selection activeCell="G7" sqref="G7"/>
    </sheetView>
  </sheetViews>
  <sheetFormatPr defaultRowHeight="14.4" x14ac:dyDescent="0.3"/>
  <cols>
    <col min="1" max="1" width="11.6640625" bestFit="1" customWidth="1"/>
    <col min="2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" bestFit="1" customWidth="1"/>
  </cols>
  <sheetData>
    <row r="3" spans="1:9" ht="15" thickBot="1" x14ac:dyDescent="0.35">
      <c r="A3" s="5" t="s">
        <v>48</v>
      </c>
      <c r="B3" s="6" t="s">
        <v>15</v>
      </c>
      <c r="C3" s="6" t="s">
        <v>14</v>
      </c>
      <c r="D3" s="6" t="s">
        <v>13</v>
      </c>
      <c r="E3" s="6" t="s">
        <v>12</v>
      </c>
      <c r="F3" s="6" t="s">
        <v>11</v>
      </c>
      <c r="G3" s="6" t="s">
        <v>10</v>
      </c>
      <c r="H3" s="6" t="s">
        <v>9</v>
      </c>
      <c r="I3" s="6" t="s">
        <v>8</v>
      </c>
    </row>
    <row r="4" spans="1:9" ht="15" thickTop="1" x14ac:dyDescent="0.3">
      <c r="A4" s="2" t="s">
        <v>24</v>
      </c>
      <c r="B4" s="8">
        <v>296.51563190157901</v>
      </c>
      <c r="C4" s="8">
        <v>0.98698411719746604</v>
      </c>
      <c r="D4" s="8">
        <v>0.24606022011200601</v>
      </c>
      <c r="E4" s="8">
        <v>24.284512486916</v>
      </c>
      <c r="F4" s="8">
        <v>-3.9009377140573902E-3</v>
      </c>
      <c r="G4" s="8">
        <v>0.24608060652369601</v>
      </c>
      <c r="H4" s="8">
        <v>-0.30076596370235897</v>
      </c>
      <c r="I4" s="8">
        <v>0.121055632643189</v>
      </c>
    </row>
    <row r="5" spans="1:9" x14ac:dyDescent="0.3">
      <c r="A5" s="3" t="s">
        <v>25</v>
      </c>
      <c r="B5" s="11">
        <v>297.01691500761598</v>
      </c>
      <c r="C5" s="11">
        <v>0.98701464366426495</v>
      </c>
      <c r="D5" s="11">
        <v>0.253870055886802</v>
      </c>
      <c r="E5" s="11">
        <v>24.845370874969898</v>
      </c>
      <c r="F5" s="11">
        <v>3.93308378737218E-3</v>
      </c>
      <c r="G5" s="11">
        <v>0.23044825648889999</v>
      </c>
      <c r="H5" s="11">
        <v>-0.30076661507726299</v>
      </c>
      <c r="I5" s="11">
        <v>8.9816442400153906E-2</v>
      </c>
    </row>
    <row r="6" spans="1:9" x14ac:dyDescent="0.3">
      <c r="A6" s="3" t="s">
        <v>26</v>
      </c>
      <c r="B6" s="11">
        <v>298.79999999994101</v>
      </c>
      <c r="C6" s="11">
        <v>0.987045154116999</v>
      </c>
      <c r="D6" s="11">
        <v>0.26167873337821401</v>
      </c>
      <c r="E6" s="11">
        <v>26.593392423338699</v>
      </c>
      <c r="F6" s="11">
        <v>1.1784016921581399E-2</v>
      </c>
      <c r="G6" s="11">
        <v>0.214829417046938</v>
      </c>
      <c r="H6" s="11">
        <v>-0.30075751402267797</v>
      </c>
      <c r="I6" s="11">
        <v>6.6345656438481199E-2</v>
      </c>
    </row>
    <row r="7" spans="1:9" x14ac:dyDescent="0.3">
      <c r="A7" s="4" t="s">
        <v>27</v>
      </c>
      <c r="B7" s="8">
        <v>301.89999999996098</v>
      </c>
      <c r="C7" s="8">
        <v>0.98692307857531103</v>
      </c>
      <c r="D7" s="8">
        <v>0.232416728098324</v>
      </c>
      <c r="E7" s="8">
        <v>29.7210982448374</v>
      </c>
      <c r="F7" s="8">
        <v>1.95989238102732E-2</v>
      </c>
      <c r="G7" s="8">
        <v>0.21482519463642899</v>
      </c>
      <c r="H7" s="8">
        <v>-0.29299403359419401</v>
      </c>
      <c r="I7" s="8">
        <v>7.4187109913008503E-2</v>
      </c>
    </row>
    <row r="8" spans="1:9" x14ac:dyDescent="0.3">
      <c r="A8" s="4" t="s">
        <v>28</v>
      </c>
      <c r="B8" s="8">
        <v>304.183156174011</v>
      </c>
      <c r="C8" s="8">
        <v>0.98692304506913797</v>
      </c>
      <c r="D8" s="8">
        <v>0.230431084809609</v>
      </c>
      <c r="E8" s="8">
        <v>31.938414836798401</v>
      </c>
      <c r="F8" s="8">
        <v>1.36931199106912E-2</v>
      </c>
      <c r="G8" s="8">
        <v>0.214835526285062</v>
      </c>
      <c r="H8" s="8">
        <v>-0.292996299166351</v>
      </c>
      <c r="I8" s="8">
        <v>8.1980934353002494E-2</v>
      </c>
    </row>
    <row r="9" spans="1:9" x14ac:dyDescent="0.3">
      <c r="A9" s="3" t="s">
        <v>29</v>
      </c>
      <c r="B9" s="11">
        <v>308.20000000003301</v>
      </c>
      <c r="C9" s="11">
        <v>0.98704501886793505</v>
      </c>
      <c r="D9" s="11">
        <v>0.25976004176826201</v>
      </c>
      <c r="E9" s="11">
        <v>36.060470915582599</v>
      </c>
      <c r="F9" s="11">
        <v>1.36788056663003E-2</v>
      </c>
      <c r="G9" s="11">
        <v>0.23043344639432201</v>
      </c>
      <c r="H9" s="11">
        <v>-0.31643083996507398</v>
      </c>
      <c r="I9" s="11">
        <v>7.4172725411670706E-2</v>
      </c>
    </row>
    <row r="10" spans="1:9" x14ac:dyDescent="0.3">
      <c r="A10" s="3" t="s">
        <v>30</v>
      </c>
      <c r="B10" s="11">
        <v>313.80017404109901</v>
      </c>
      <c r="C10" s="11">
        <v>0.986800937288693</v>
      </c>
      <c r="D10" s="11">
        <v>0.19918473434328601</v>
      </c>
      <c r="E10" s="11">
        <v>41.6875882070416</v>
      </c>
      <c r="F10" s="11">
        <v>9.7763845260377905E-3</v>
      </c>
      <c r="G10" s="11">
        <v>0.230444620336342</v>
      </c>
      <c r="H10" s="11">
        <v>-0.31641053587619</v>
      </c>
      <c r="I10" s="11">
        <v>8.1991320882727606E-2</v>
      </c>
    </row>
    <row r="11" spans="1:9" x14ac:dyDescent="0.3">
      <c r="A11" s="4" t="s">
        <v>31</v>
      </c>
      <c r="B11" s="8">
        <v>311.54931125955801</v>
      </c>
      <c r="C11" s="8">
        <v>0.98655687633529199</v>
      </c>
      <c r="D11" s="8">
        <v>0.13868004829826</v>
      </c>
      <c r="E11" s="8">
        <v>39.435968874773003</v>
      </c>
      <c r="F11" s="8">
        <v>-1.9725867804026298E-3</v>
      </c>
      <c r="G11" s="8">
        <v>0.23044087397943899</v>
      </c>
      <c r="H11" s="8">
        <v>-0.31640229001206899</v>
      </c>
      <c r="I11" s="8">
        <v>9.7609685251674405E-2</v>
      </c>
    </row>
    <row r="12" spans="1:9" x14ac:dyDescent="0.3">
      <c r="A12" s="4" t="s">
        <v>32</v>
      </c>
      <c r="B12" s="8">
        <v>312.67522782097598</v>
      </c>
      <c r="C12" s="8">
        <v>0.98664832238253697</v>
      </c>
      <c r="D12" s="8">
        <v>0.15820266978071201</v>
      </c>
      <c r="E12" s="8">
        <v>40.562431905107502</v>
      </c>
      <c r="F12" s="8">
        <v>-1.96990066191892E-3</v>
      </c>
      <c r="G12" s="8">
        <v>0.22461132393355501</v>
      </c>
      <c r="H12" s="8">
        <v>-0.30662841573364003</v>
      </c>
      <c r="I12" s="8">
        <v>0.105457723098706</v>
      </c>
    </row>
    <row r="13" spans="1:9" x14ac:dyDescent="0.3">
      <c r="A13" s="3" t="s">
        <v>33</v>
      </c>
      <c r="B13" s="11">
        <v>313.17725030874698</v>
      </c>
      <c r="C13" s="11">
        <v>0.98658746511068895</v>
      </c>
      <c r="D13" s="11">
        <v>0.14448995050973701</v>
      </c>
      <c r="E13" s="11">
        <v>41.062528888279502</v>
      </c>
      <c r="F13" s="11">
        <v>1.94067964748222E-3</v>
      </c>
      <c r="G13" s="11">
        <v>0.22069606298678601</v>
      </c>
      <c r="H13" s="11">
        <v>-0.30273460390958501</v>
      </c>
      <c r="I13" s="11">
        <v>9.76279771746765E-2</v>
      </c>
    </row>
    <row r="14" spans="1:9" x14ac:dyDescent="0.3">
      <c r="A14" s="3"/>
      <c r="B14" s="11"/>
      <c r="C14" s="11"/>
      <c r="D14" s="11"/>
      <c r="E14" s="11"/>
      <c r="F14" s="11"/>
      <c r="G14" s="11"/>
      <c r="H14" s="11"/>
      <c r="I14" s="11"/>
    </row>
    <row r="15" spans="1:9" x14ac:dyDescent="0.3">
      <c r="A15" s="4"/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4"/>
      <c r="B16" s="8"/>
      <c r="C16" s="8"/>
      <c r="D16" s="8"/>
      <c r="E16" s="8"/>
      <c r="F16" s="8"/>
      <c r="G16" s="8"/>
      <c r="H16" s="8"/>
      <c r="I16" s="8"/>
    </row>
    <row r="17" spans="1:17" x14ac:dyDescent="0.3">
      <c r="A17" s="3"/>
      <c r="B17" s="11"/>
      <c r="C17" s="11"/>
      <c r="D17" s="11"/>
      <c r="E17" s="11"/>
      <c r="F17" s="11"/>
      <c r="G17" s="11"/>
      <c r="H17" s="11"/>
      <c r="I17" s="11"/>
    </row>
    <row r="18" spans="1:17" x14ac:dyDescent="0.3">
      <c r="A18" s="3"/>
      <c r="B18" s="11"/>
      <c r="C18" s="11"/>
      <c r="D18" s="11"/>
      <c r="E18" s="11"/>
      <c r="F18" s="11"/>
      <c r="G18" s="11"/>
      <c r="H18" s="11"/>
      <c r="I18" s="11"/>
    </row>
    <row r="19" spans="1:17" x14ac:dyDescent="0.3">
      <c r="A19" s="4"/>
      <c r="B19" s="8"/>
      <c r="C19" s="8"/>
      <c r="D19" s="8"/>
      <c r="E19" s="8"/>
      <c r="F19" s="8"/>
      <c r="G19" s="8"/>
      <c r="H19" s="8"/>
      <c r="I19" s="8"/>
    </row>
    <row r="20" spans="1:17" x14ac:dyDescent="0.3">
      <c r="A20" s="4"/>
      <c r="B20" s="8"/>
      <c r="C20" s="8"/>
      <c r="D20" s="8"/>
      <c r="E20" s="8"/>
      <c r="F20" s="8"/>
      <c r="G20" s="8"/>
      <c r="H20" s="8"/>
      <c r="I20" s="8"/>
    </row>
    <row r="21" spans="1:17" x14ac:dyDescent="0.3">
      <c r="A21" s="3"/>
      <c r="B21" s="11"/>
      <c r="C21" s="11"/>
      <c r="D21" s="11"/>
      <c r="E21" s="11"/>
      <c r="F21" s="11"/>
      <c r="G21" s="11"/>
      <c r="H21" s="11"/>
      <c r="I21" s="11"/>
    </row>
    <row r="22" spans="1:17" x14ac:dyDescent="0.3">
      <c r="A22" s="3" t="s">
        <v>42</v>
      </c>
      <c r="B22" s="11">
        <v>304.45000000001198</v>
      </c>
      <c r="C22" s="11">
        <v>0.98704528955936199</v>
      </c>
      <c r="D22" s="11">
        <v>0.26365459952648002</v>
      </c>
      <c r="E22" s="11">
        <v>32.281190805346803</v>
      </c>
      <c r="F22" s="11">
        <v>-6.8359978719703896E-2</v>
      </c>
      <c r="G22" s="11">
        <v>0.339806296825795</v>
      </c>
      <c r="H22" s="11">
        <v>-0.37886722596709599</v>
      </c>
      <c r="I22" s="11">
        <v>0.207020172803352</v>
      </c>
    </row>
    <row r="23" spans="1:17" x14ac:dyDescent="0.3">
      <c r="A23" s="4" t="s">
        <v>43</v>
      </c>
      <c r="B23" s="8">
        <v>303.89999999994501</v>
      </c>
      <c r="C23" s="8">
        <v>0.98713673013685099</v>
      </c>
      <c r="D23" s="8">
        <v>0.27928673969418</v>
      </c>
      <c r="E23" s="8">
        <v>31.7186142597558</v>
      </c>
      <c r="F23" s="8">
        <v>-3.31857849688795E-2</v>
      </c>
      <c r="G23" s="8">
        <v>0.31639729422601398</v>
      </c>
      <c r="H23" s="8">
        <v>-0.36323335504906801</v>
      </c>
      <c r="I23" s="8">
        <v>0.16793353553495199</v>
      </c>
    </row>
    <row r="24" spans="1:17" x14ac:dyDescent="0.3">
      <c r="A24" s="4" t="s">
        <v>44</v>
      </c>
      <c r="B24" s="8"/>
      <c r="C24" s="8"/>
      <c r="D24" s="8"/>
      <c r="E24" s="8"/>
      <c r="F24" s="8"/>
      <c r="G24" s="8"/>
      <c r="H24" s="8"/>
      <c r="I24" s="8"/>
    </row>
    <row r="25" spans="1:17" x14ac:dyDescent="0.3">
      <c r="A25" s="3" t="s">
        <v>45</v>
      </c>
      <c r="B25" s="11">
        <v>300.39999999994399</v>
      </c>
      <c r="C25" s="11">
        <v>0.98707572448562397</v>
      </c>
      <c r="D25" s="11">
        <v>0.26950875205034402</v>
      </c>
      <c r="E25" s="11">
        <v>28.216279068259499</v>
      </c>
      <c r="F25" s="11">
        <v>-3.8830245728575098E-3</v>
      </c>
      <c r="G25" s="11">
        <v>0.269532649868024</v>
      </c>
      <c r="H25" s="11">
        <v>-0.33982017641514001</v>
      </c>
      <c r="I25" s="11">
        <v>0.121091345226047</v>
      </c>
    </row>
    <row r="26" spans="1:17" x14ac:dyDescent="0.3">
      <c r="A26" s="3" t="s">
        <v>46</v>
      </c>
      <c r="B26" s="11">
        <v>302</v>
      </c>
      <c r="C26" s="11">
        <v>0.98710627473307899</v>
      </c>
      <c r="D26" s="11">
        <v>0.275377539368442</v>
      </c>
      <c r="E26" s="11">
        <v>29.835068586931101</v>
      </c>
      <c r="F26" s="11">
        <v>-3.89643647999587E-3</v>
      </c>
      <c r="G26" s="11">
        <v>0.26169806784073302</v>
      </c>
      <c r="H26" s="11">
        <v>-0.33207025112152899</v>
      </c>
      <c r="I26" s="11">
        <v>0.113259800342394</v>
      </c>
    </row>
    <row r="27" spans="1:17" x14ac:dyDescent="0.3">
      <c r="A27" s="4" t="s">
        <v>47</v>
      </c>
      <c r="B27" s="14">
        <v>298.39999999993699</v>
      </c>
      <c r="C27" s="14">
        <v>0.98722832496103397</v>
      </c>
      <c r="D27" s="14">
        <v>0.300773079130007</v>
      </c>
      <c r="E27" s="14">
        <v>26.1600513187052</v>
      </c>
      <c r="F27" s="14">
        <v>-1.16679673795106E-2</v>
      </c>
      <c r="G27" s="14">
        <v>0.26951820216007499</v>
      </c>
      <c r="H27" s="14">
        <v>-0.324236535475243</v>
      </c>
      <c r="I27" s="14">
        <v>0.121044762344778</v>
      </c>
    </row>
    <row r="28" spans="1:17" x14ac:dyDescent="0.3">
      <c r="A28" s="1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4:T18"/>
  <sheetViews>
    <sheetView workbookViewId="0">
      <selection activeCell="L4" sqref="L4:O1048576"/>
    </sheetView>
  </sheetViews>
  <sheetFormatPr defaultRowHeight="14.4" x14ac:dyDescent="0.3"/>
  <cols>
    <col min="6" max="6" width="11.5546875" bestFit="1" customWidth="1"/>
    <col min="7" max="7" width="10.109375" customWidth="1"/>
    <col min="8" max="8" width="12" customWidth="1"/>
    <col min="9" max="9" width="10.88671875" customWidth="1"/>
    <col min="10" max="12" width="12" customWidth="1"/>
    <col min="13" max="13" width="12.44140625" customWidth="1"/>
    <col min="14" max="14" width="12.5546875" customWidth="1"/>
    <col min="15" max="18" width="12" customWidth="1"/>
    <col min="19" max="19" width="12.6640625" customWidth="1"/>
    <col min="20" max="20" width="12.88671875" customWidth="1"/>
    <col min="21" max="21" width="13.5546875" customWidth="1"/>
    <col min="22" max="22" width="13.44140625" customWidth="1"/>
    <col min="23" max="23" width="9.88671875" customWidth="1"/>
    <col min="24" max="24" width="12" customWidth="1"/>
    <col min="25" max="25" width="10.5546875" customWidth="1"/>
    <col min="26" max="26" width="12" customWidth="1"/>
    <col min="27" max="30" width="12.6640625" customWidth="1"/>
  </cols>
  <sheetData>
    <row r="4" spans="2:20" x14ac:dyDescent="0.3">
      <c r="C4" s="30" t="s">
        <v>49</v>
      </c>
      <c r="D4" s="30"/>
      <c r="I4" s="30" t="s">
        <v>50</v>
      </c>
      <c r="J4" s="30"/>
      <c r="M4" s="30" t="s">
        <v>51</v>
      </c>
      <c r="N4" s="30"/>
      <c r="R4" s="30" t="s">
        <v>67</v>
      </c>
      <c r="S4" s="30"/>
      <c r="T4" s="30"/>
    </row>
    <row r="5" spans="2:20" x14ac:dyDescent="0.3">
      <c r="C5" t="s">
        <v>52</v>
      </c>
      <c r="D5" t="s">
        <v>53</v>
      </c>
      <c r="E5" t="s">
        <v>54</v>
      </c>
      <c r="H5" t="s">
        <v>52</v>
      </c>
      <c r="I5" t="s">
        <v>53</v>
      </c>
      <c r="J5" t="s">
        <v>54</v>
      </c>
      <c r="M5" t="s">
        <v>52</v>
      </c>
      <c r="N5" t="s">
        <v>53</v>
      </c>
      <c r="O5" t="s">
        <v>54</v>
      </c>
      <c r="R5" t="s">
        <v>52</v>
      </c>
      <c r="S5" t="s">
        <v>53</v>
      </c>
      <c r="T5" t="s">
        <v>54</v>
      </c>
    </row>
    <row r="6" spans="2:20" x14ac:dyDescent="0.3">
      <c r="B6" t="s">
        <v>55</v>
      </c>
      <c r="C6">
        <v>24.166</v>
      </c>
      <c r="D6">
        <v>29.646923076923098</v>
      </c>
      <c r="E6">
        <v>26.525631283546598</v>
      </c>
      <c r="G6" t="s">
        <v>55</v>
      </c>
      <c r="H6">
        <v>28.18</v>
      </c>
      <c r="I6">
        <v>34.47</v>
      </c>
      <c r="J6">
        <v>31.241419378577199</v>
      </c>
      <c r="L6" t="s">
        <v>55</v>
      </c>
      <c r="M6">
        <v>19.657010029792499</v>
      </c>
      <c r="N6">
        <v>32.027133120127253</v>
      </c>
      <c r="O6">
        <v>24.348445672977348</v>
      </c>
      <c r="Q6" t="s">
        <v>55</v>
      </c>
      <c r="R6">
        <v>19.860862378255749</v>
      </c>
      <c r="S6">
        <v>32.240823511753</v>
      </c>
      <c r="T6">
        <v>24.564941680942951</v>
      </c>
    </row>
    <row r="7" spans="2:20" x14ac:dyDescent="0.3">
      <c r="B7" t="s">
        <v>56</v>
      </c>
      <c r="C7">
        <v>27.7254545454545</v>
      </c>
      <c r="D7">
        <v>34.030833333333298</v>
      </c>
      <c r="E7">
        <v>30.936105703910901</v>
      </c>
      <c r="G7" t="s">
        <v>56</v>
      </c>
      <c r="H7">
        <v>32.270000000000003</v>
      </c>
      <c r="I7">
        <v>40</v>
      </c>
      <c r="J7">
        <v>36.637167416189698</v>
      </c>
      <c r="L7" t="s">
        <v>56</v>
      </c>
      <c r="M7">
        <v>21.968498953424998</v>
      </c>
      <c r="N7">
        <v>35.31144853376005</v>
      </c>
      <c r="O7">
        <v>28.29234337812435</v>
      </c>
      <c r="Q7" t="s">
        <v>56</v>
      </c>
      <c r="R7">
        <v>21.016299626716251</v>
      </c>
      <c r="S7">
        <v>34.8943812172189</v>
      </c>
      <c r="T7">
        <v>28.157245334088049</v>
      </c>
    </row>
    <row r="8" spans="2:20" x14ac:dyDescent="0.3">
      <c r="B8" t="s">
        <v>57</v>
      </c>
      <c r="C8">
        <v>32.612857142857102</v>
      </c>
      <c r="D8">
        <v>39.021428571428601</v>
      </c>
      <c r="E8">
        <v>35.736755048579198</v>
      </c>
      <c r="G8" t="s">
        <v>57</v>
      </c>
      <c r="H8">
        <v>38.200000000000003</v>
      </c>
      <c r="I8">
        <v>45.9</v>
      </c>
      <c r="J8">
        <v>41.938580457890403</v>
      </c>
      <c r="L8" t="s">
        <v>57</v>
      </c>
      <c r="M8">
        <v>25.684864398027251</v>
      </c>
      <c r="N8">
        <v>43.364672281915304</v>
      </c>
      <c r="O8">
        <v>34.5935678190231</v>
      </c>
      <c r="Q8" t="s">
        <v>57</v>
      </c>
      <c r="R8">
        <v>24.472256416536201</v>
      </c>
      <c r="S8">
        <v>43.145269705729703</v>
      </c>
      <c r="T8">
        <v>33.9994428761905</v>
      </c>
    </row>
    <row r="9" spans="2:20" x14ac:dyDescent="0.3">
      <c r="B9" t="s">
        <v>58</v>
      </c>
      <c r="C9">
        <v>38.697058823529403</v>
      </c>
      <c r="D9">
        <v>46.787647058823502</v>
      </c>
      <c r="E9">
        <v>42.701237107557603</v>
      </c>
      <c r="G9" t="s">
        <v>58</v>
      </c>
      <c r="H9">
        <v>43.115000000000002</v>
      </c>
      <c r="I9">
        <v>50.77</v>
      </c>
      <c r="J9">
        <v>47.917639779231301</v>
      </c>
      <c r="L9" t="s">
        <v>58</v>
      </c>
      <c r="M9">
        <v>31.414048820463698</v>
      </c>
      <c r="N9">
        <v>51.273294051599947</v>
      </c>
      <c r="O9">
        <v>42.684969186741696</v>
      </c>
      <c r="Q9" t="s">
        <v>58</v>
      </c>
      <c r="R9">
        <v>29.6779498651245</v>
      </c>
      <c r="S9">
        <v>49.52574516459395</v>
      </c>
      <c r="T9">
        <v>40.561778540907298</v>
      </c>
    </row>
    <row r="10" spans="2:20" x14ac:dyDescent="0.3">
      <c r="B10" t="s">
        <v>59</v>
      </c>
      <c r="C10">
        <v>42.600476190476201</v>
      </c>
      <c r="D10">
        <v>48.610952380952398</v>
      </c>
      <c r="E10">
        <v>45.308531428781897</v>
      </c>
      <c r="G10" t="s">
        <v>59</v>
      </c>
      <c r="H10">
        <v>46.21</v>
      </c>
      <c r="I10">
        <v>52.71</v>
      </c>
      <c r="J10">
        <v>49.551191550831199</v>
      </c>
      <c r="L10" t="s">
        <v>59</v>
      </c>
      <c r="M10">
        <v>31.729902730819951</v>
      </c>
      <c r="N10">
        <v>50.524674347442854</v>
      </c>
      <c r="O10">
        <v>42.779122985984301</v>
      </c>
      <c r="Q10" t="s">
        <v>59</v>
      </c>
      <c r="R10">
        <v>30.719253888980901</v>
      </c>
      <c r="S10">
        <v>50.032357828053847</v>
      </c>
      <c r="T10">
        <v>40.812480396693502</v>
      </c>
    </row>
    <row r="11" spans="2:20" x14ac:dyDescent="0.3">
      <c r="B11" t="s">
        <v>60</v>
      </c>
      <c r="C11">
        <v>32.57</v>
      </c>
      <c r="D11">
        <v>42.195</v>
      </c>
      <c r="E11">
        <v>37.823111103842997</v>
      </c>
      <c r="G11" t="s">
        <v>60</v>
      </c>
      <c r="H11">
        <v>36.81</v>
      </c>
      <c r="I11">
        <v>45.576666666666597</v>
      </c>
      <c r="J11">
        <v>41.3013986644862</v>
      </c>
      <c r="L11" t="s">
        <v>60</v>
      </c>
      <c r="M11">
        <v>12.457289817101723</v>
      </c>
      <c r="N11">
        <v>30.518085534028451</v>
      </c>
      <c r="O11">
        <v>24.241309132170748</v>
      </c>
      <c r="Q11" t="s">
        <v>60</v>
      </c>
      <c r="R11">
        <v>21.189198081638551</v>
      </c>
      <c r="S11">
        <v>30.520393415374951</v>
      </c>
      <c r="T11">
        <v>25.427597509310452</v>
      </c>
    </row>
    <row r="12" spans="2:20" x14ac:dyDescent="0.3">
      <c r="B12" t="s">
        <v>61</v>
      </c>
      <c r="C12">
        <v>24.7</v>
      </c>
      <c r="D12">
        <v>41.33</v>
      </c>
      <c r="E12">
        <v>37.273328225813103</v>
      </c>
      <c r="G12" t="s">
        <v>61</v>
      </c>
      <c r="H12">
        <v>31.58</v>
      </c>
      <c r="I12">
        <v>46.19</v>
      </c>
      <c r="J12">
        <v>41.041243576227799</v>
      </c>
      <c r="L12" t="s">
        <v>61</v>
      </c>
      <c r="M12">
        <v>19.712765686627598</v>
      </c>
      <c r="N12">
        <v>30.697304235553702</v>
      </c>
      <c r="O12">
        <v>26.080802604840152</v>
      </c>
      <c r="Q12" t="s">
        <v>61</v>
      </c>
      <c r="R12">
        <v>18.282700805454549</v>
      </c>
      <c r="S12">
        <v>30.687876925324304</v>
      </c>
      <c r="T12">
        <v>26.16225474848715</v>
      </c>
    </row>
    <row r="13" spans="2:20" x14ac:dyDescent="0.3">
      <c r="B13" t="s">
        <v>62</v>
      </c>
      <c r="C13">
        <v>24.89</v>
      </c>
      <c r="D13">
        <v>35.25</v>
      </c>
      <c r="E13">
        <v>30.462843525367202</v>
      </c>
      <c r="G13" t="s">
        <v>62</v>
      </c>
      <c r="H13">
        <v>8.3500000000000192</v>
      </c>
      <c r="I13">
        <v>40.43</v>
      </c>
      <c r="J13">
        <v>31.258071886419401</v>
      </c>
      <c r="L13" t="s">
        <v>62</v>
      </c>
      <c r="M13">
        <v>14.633948572879801</v>
      </c>
      <c r="N13">
        <v>31.938583062942101</v>
      </c>
      <c r="O13">
        <v>25.491681683764799</v>
      </c>
      <c r="Q13" t="s">
        <v>62</v>
      </c>
      <c r="R13">
        <v>22.918996071526401</v>
      </c>
      <c r="S13">
        <v>31.938492089337501</v>
      </c>
      <c r="T13">
        <v>27.2829536786438</v>
      </c>
    </row>
    <row r="14" spans="2:20" x14ac:dyDescent="0.3">
      <c r="B14" t="s">
        <v>63</v>
      </c>
      <c r="C14">
        <v>28.543333333333301</v>
      </c>
      <c r="D14">
        <v>38.61</v>
      </c>
      <c r="E14">
        <v>33.783339220496003</v>
      </c>
      <c r="G14" t="s">
        <v>63</v>
      </c>
      <c r="H14">
        <v>31.523333333333301</v>
      </c>
      <c r="I14">
        <v>42.47</v>
      </c>
      <c r="J14">
        <v>38.0806698282911</v>
      </c>
      <c r="L14" t="s">
        <v>63</v>
      </c>
      <c r="M14">
        <v>15.9268349028331</v>
      </c>
      <c r="N14">
        <v>30.73269034158205</v>
      </c>
      <c r="O14">
        <v>24.25610662122055</v>
      </c>
      <c r="Q14" t="s">
        <v>63</v>
      </c>
      <c r="R14">
        <v>21.468276284935499</v>
      </c>
      <c r="S14">
        <v>30.97312334256835</v>
      </c>
      <c r="T14">
        <v>25.656699687385601</v>
      </c>
    </row>
    <row r="15" spans="2:20" x14ac:dyDescent="0.3">
      <c r="B15" t="s">
        <v>64</v>
      </c>
      <c r="C15">
        <v>32.83</v>
      </c>
      <c r="D15">
        <v>39.100999999999999</v>
      </c>
      <c r="E15">
        <v>35.722004727478698</v>
      </c>
      <c r="G15" t="s">
        <v>64</v>
      </c>
      <c r="H15">
        <v>35.475000000000001</v>
      </c>
      <c r="I15">
        <v>41.805</v>
      </c>
      <c r="J15">
        <v>38.837290923957397</v>
      </c>
      <c r="L15" t="s">
        <v>64</v>
      </c>
      <c r="M15">
        <v>26.801438715170598</v>
      </c>
      <c r="N15">
        <v>37.09308359930445</v>
      </c>
      <c r="O15">
        <v>30.962672824451403</v>
      </c>
      <c r="Q15" t="s">
        <v>64</v>
      </c>
      <c r="R15">
        <v>26.599835932898699</v>
      </c>
      <c r="S15">
        <v>39.763194367242448</v>
      </c>
      <c r="T15">
        <v>31.999902532551303</v>
      </c>
    </row>
    <row r="16" spans="2:20" x14ac:dyDescent="0.3">
      <c r="B16" t="s">
        <v>65</v>
      </c>
      <c r="C16">
        <v>30.629200000000001</v>
      </c>
      <c r="D16">
        <v>35.106000000000002</v>
      </c>
      <c r="E16">
        <v>32.319067108105003</v>
      </c>
      <c r="G16" t="s">
        <v>65</v>
      </c>
      <c r="H16">
        <v>32.803333333333299</v>
      </c>
      <c r="I16">
        <v>37.103333333333303</v>
      </c>
      <c r="J16">
        <v>34.957911529027001</v>
      </c>
      <c r="L16" t="s">
        <v>65</v>
      </c>
      <c r="M16">
        <v>22.9272213272999</v>
      </c>
      <c r="N16">
        <v>37.261757126487403</v>
      </c>
      <c r="O16">
        <v>28.862749132334599</v>
      </c>
      <c r="Q16" t="s">
        <v>65</v>
      </c>
      <c r="R16">
        <v>21.927025928267199</v>
      </c>
      <c r="S16">
        <v>35.308967164277398</v>
      </c>
      <c r="T16">
        <v>28.216279068259499</v>
      </c>
    </row>
    <row r="17" spans="2:20" x14ac:dyDescent="0.3">
      <c r="B17" t="s">
        <v>66</v>
      </c>
      <c r="C17">
        <v>27.8533333333333</v>
      </c>
      <c r="D17">
        <v>31.997272727272701</v>
      </c>
      <c r="E17">
        <v>29.2305054535998</v>
      </c>
      <c r="G17" t="s">
        <v>66</v>
      </c>
      <c r="H17">
        <v>30.245000000000001</v>
      </c>
      <c r="I17">
        <v>34.590000000000003</v>
      </c>
      <c r="J17">
        <v>32.110628781684397</v>
      </c>
      <c r="L17" t="s">
        <v>66</v>
      </c>
      <c r="M17">
        <v>23.202897013108</v>
      </c>
      <c r="N17">
        <v>37.01507956777985</v>
      </c>
      <c r="O17">
        <v>28.193868760152853</v>
      </c>
      <c r="Q17" t="s">
        <v>66</v>
      </c>
      <c r="R17">
        <v>23.202891580871199</v>
      </c>
      <c r="S17">
        <v>36.084538610919452</v>
      </c>
      <c r="T17">
        <v>27.99755995281815</v>
      </c>
    </row>
    <row r="18" spans="2:20" x14ac:dyDescent="0.3">
      <c r="C18">
        <f>AVERAGE(C6:C17)</f>
        <v>30.651476114081984</v>
      </c>
      <c r="D18">
        <f>AVERAGE(D6:D17)</f>
        <v>38.473921429061136</v>
      </c>
      <c r="E18">
        <f>AVERAGE(E6:E17)</f>
        <v>34.818538328089915</v>
      </c>
      <c r="H18">
        <f>AVERAGE(H6:H17)</f>
        <v>32.896805555555552</v>
      </c>
      <c r="I18">
        <f>AVERAGE(I6:I17)</f>
        <v>42.667916666666663</v>
      </c>
      <c r="J18">
        <f>AVERAGE(J6:J17)</f>
        <v>38.739434481067761</v>
      </c>
      <c r="M18">
        <f>AVERAGE(M6:M17)</f>
        <v>22.176393413962426</v>
      </c>
      <c r="N18">
        <f>AVERAGE(N6:N17)</f>
        <v>37.313150483543616</v>
      </c>
      <c r="O18">
        <f>AVERAGE(O6:O17)</f>
        <v>30.065636650148832</v>
      </c>
      <c r="R18">
        <f>AVERAGE(R6:R17)</f>
        <v>23.444628905100476</v>
      </c>
      <c r="S18">
        <f>AVERAGE(S6:S17)</f>
        <v>37.092930278532826</v>
      </c>
      <c r="T18">
        <f>AVERAGE(T6:T17)</f>
        <v>30.069928000523188</v>
      </c>
    </row>
  </sheetData>
  <mergeCells count="4">
    <mergeCell ref="C4:D4"/>
    <mergeCell ref="I4:J4"/>
    <mergeCell ref="M4:N4"/>
    <mergeCell ref="R4:T4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S19"/>
  <sheetViews>
    <sheetView topLeftCell="A2" workbookViewId="0">
      <selection activeCell="I24" sqref="I24"/>
    </sheetView>
  </sheetViews>
  <sheetFormatPr defaultRowHeight="14.4" x14ac:dyDescent="0.3"/>
  <sheetData>
    <row r="5" spans="1:19" x14ac:dyDescent="0.3">
      <c r="B5" s="30" t="s">
        <v>49</v>
      </c>
      <c r="C5" s="30"/>
      <c r="H5" s="30" t="s">
        <v>50</v>
      </c>
      <c r="I5" s="30"/>
      <c r="L5" s="30" t="s">
        <v>51</v>
      </c>
      <c r="M5" s="30"/>
      <c r="Q5" s="30" t="s">
        <v>67</v>
      </c>
      <c r="R5" s="30"/>
      <c r="S5" s="30"/>
    </row>
    <row r="6" spans="1:19" x14ac:dyDescent="0.3">
      <c r="B6" t="s">
        <v>52</v>
      </c>
      <c r="C6" t="s">
        <v>53</v>
      </c>
      <c r="D6" t="s">
        <v>54</v>
      </c>
      <c r="G6" t="s">
        <v>52</v>
      </c>
      <c r="H6" t="s">
        <v>53</v>
      </c>
      <c r="I6" t="s">
        <v>54</v>
      </c>
      <c r="L6" t="s">
        <v>52</v>
      </c>
      <c r="M6" t="s">
        <v>53</v>
      </c>
      <c r="N6" t="s">
        <v>54</v>
      </c>
      <c r="Q6" t="s">
        <v>52</v>
      </c>
      <c r="R6" t="s">
        <v>53</v>
      </c>
      <c r="S6" t="s">
        <v>54</v>
      </c>
    </row>
    <row r="7" spans="1:19" x14ac:dyDescent="0.3">
      <c r="A7" t="s">
        <v>55</v>
      </c>
      <c r="B7">
        <v>24.166</v>
      </c>
      <c r="C7">
        <v>29.646923076923098</v>
      </c>
      <c r="D7">
        <v>26.525631283546598</v>
      </c>
      <c r="F7" t="s">
        <v>55</v>
      </c>
      <c r="G7">
        <v>28.18</v>
      </c>
      <c r="H7">
        <v>34.47</v>
      </c>
      <c r="I7">
        <v>31.241419378577199</v>
      </c>
      <c r="K7" t="s">
        <v>55</v>
      </c>
      <c r="L7">
        <v>19.657010029792499</v>
      </c>
      <c r="M7">
        <v>32.027133120127253</v>
      </c>
      <c r="N7">
        <v>24.348445672977348</v>
      </c>
      <c r="P7" t="s">
        <v>55</v>
      </c>
      <c r="Q7">
        <v>19.860862378255749</v>
      </c>
      <c r="R7">
        <v>32.240823511753</v>
      </c>
      <c r="S7">
        <v>24.564941680942951</v>
      </c>
    </row>
    <row r="8" spans="1:19" x14ac:dyDescent="0.3">
      <c r="A8" t="s">
        <v>56</v>
      </c>
      <c r="B8">
        <v>27.7254545454545</v>
      </c>
      <c r="C8">
        <v>34.030833333333298</v>
      </c>
      <c r="D8">
        <v>30.936105703910901</v>
      </c>
      <c r="F8" t="s">
        <v>56</v>
      </c>
      <c r="G8">
        <v>32.270000000000003</v>
      </c>
      <c r="H8">
        <v>40</v>
      </c>
      <c r="I8">
        <v>36.637167416189698</v>
      </c>
      <c r="K8" t="s">
        <v>56</v>
      </c>
      <c r="L8">
        <v>21.968498953424998</v>
      </c>
      <c r="M8">
        <v>35.31144853376005</v>
      </c>
      <c r="N8">
        <v>28.29234337812435</v>
      </c>
      <c r="P8" t="s">
        <v>56</v>
      </c>
      <c r="Q8">
        <v>21.016299626716251</v>
      </c>
      <c r="R8">
        <v>34.8943812172189</v>
      </c>
      <c r="S8">
        <v>28.157245334088049</v>
      </c>
    </row>
    <row r="9" spans="1:19" x14ac:dyDescent="0.3">
      <c r="A9" t="s">
        <v>57</v>
      </c>
      <c r="B9">
        <v>32.612857142857102</v>
      </c>
      <c r="C9">
        <v>39.021428571428601</v>
      </c>
      <c r="D9">
        <v>35.736755048579198</v>
      </c>
      <c r="F9" t="s">
        <v>57</v>
      </c>
      <c r="G9">
        <v>38.200000000000003</v>
      </c>
      <c r="H9">
        <v>45.9</v>
      </c>
      <c r="I9">
        <v>41.938580457890403</v>
      </c>
      <c r="K9" t="s">
        <v>57</v>
      </c>
      <c r="L9">
        <v>25.684864398027251</v>
      </c>
      <c r="M9">
        <v>43.364672281915304</v>
      </c>
      <c r="N9">
        <v>34.5935678190231</v>
      </c>
      <c r="P9" t="s">
        <v>57</v>
      </c>
      <c r="Q9">
        <v>24.472256416536201</v>
      </c>
      <c r="R9">
        <v>43.145269705729703</v>
      </c>
      <c r="S9">
        <v>33.9994428761905</v>
      </c>
    </row>
    <row r="10" spans="1:19" x14ac:dyDescent="0.3">
      <c r="A10" t="s">
        <v>58</v>
      </c>
      <c r="B10">
        <v>38.697058823529403</v>
      </c>
      <c r="C10">
        <v>46.787647058823502</v>
      </c>
      <c r="D10">
        <v>42.701237107557603</v>
      </c>
      <c r="F10" t="s">
        <v>58</v>
      </c>
      <c r="G10">
        <v>43.115000000000002</v>
      </c>
      <c r="H10">
        <v>50.77</v>
      </c>
      <c r="I10">
        <v>47.917639779231301</v>
      </c>
      <c r="K10" t="s">
        <v>58</v>
      </c>
      <c r="L10">
        <v>31.414048820463698</v>
      </c>
      <c r="M10">
        <v>51.273294051599947</v>
      </c>
      <c r="N10">
        <v>42.684969186741696</v>
      </c>
      <c r="P10" t="s">
        <v>58</v>
      </c>
      <c r="Q10">
        <v>29.6779498651245</v>
      </c>
      <c r="R10">
        <v>49.52574516459395</v>
      </c>
      <c r="S10">
        <v>40.561778540907298</v>
      </c>
    </row>
    <row r="11" spans="1:19" x14ac:dyDescent="0.3">
      <c r="A11" t="s">
        <v>59</v>
      </c>
      <c r="B11">
        <v>42.600476190476201</v>
      </c>
      <c r="C11">
        <v>48.610952380952398</v>
      </c>
      <c r="D11">
        <v>45.308531428781897</v>
      </c>
      <c r="F11" t="s">
        <v>59</v>
      </c>
      <c r="G11">
        <v>46.21</v>
      </c>
      <c r="H11">
        <v>52.71</v>
      </c>
      <c r="I11">
        <v>49.551191550831199</v>
      </c>
      <c r="K11" t="s">
        <v>59</v>
      </c>
      <c r="L11">
        <v>31.729902730819951</v>
      </c>
      <c r="M11">
        <v>50.524674347442854</v>
      </c>
      <c r="N11">
        <v>42.779122985984301</v>
      </c>
      <c r="P11" t="s">
        <v>59</v>
      </c>
      <c r="Q11">
        <v>30.719253888980901</v>
      </c>
      <c r="R11">
        <v>50.032357828053847</v>
      </c>
      <c r="S11">
        <v>40.812480396693502</v>
      </c>
    </row>
    <row r="12" spans="1:19" x14ac:dyDescent="0.3">
      <c r="A12" t="s">
        <v>60</v>
      </c>
      <c r="B12">
        <v>32.57</v>
      </c>
      <c r="C12">
        <v>42.195</v>
      </c>
      <c r="D12">
        <v>37.823111103842997</v>
      </c>
      <c r="F12" t="s">
        <v>60</v>
      </c>
      <c r="G12">
        <v>36.81</v>
      </c>
      <c r="H12">
        <v>45.576666666666597</v>
      </c>
      <c r="I12">
        <v>41.3013986644862</v>
      </c>
      <c r="K12" t="s">
        <v>60</v>
      </c>
      <c r="L12">
        <v>12.457289817101723</v>
      </c>
      <c r="M12">
        <v>30.518085534028451</v>
      </c>
      <c r="N12">
        <v>24.241309132170748</v>
      </c>
      <c r="P12" t="s">
        <v>60</v>
      </c>
      <c r="Q12">
        <v>21.189198081638551</v>
      </c>
      <c r="R12">
        <v>30.520393415374951</v>
      </c>
      <c r="S12">
        <v>25.427597509310452</v>
      </c>
    </row>
    <row r="13" spans="1:19" x14ac:dyDescent="0.3">
      <c r="A13" t="s">
        <v>61</v>
      </c>
      <c r="B13">
        <v>24.7</v>
      </c>
      <c r="C13">
        <v>41.33</v>
      </c>
      <c r="D13">
        <v>37.273328225813103</v>
      </c>
      <c r="F13" t="s">
        <v>61</v>
      </c>
      <c r="G13">
        <v>31.58</v>
      </c>
      <c r="H13">
        <v>46.19</v>
      </c>
      <c r="I13">
        <v>41.041243576227799</v>
      </c>
      <c r="K13" t="s">
        <v>61</v>
      </c>
      <c r="L13">
        <v>19.712765686627598</v>
      </c>
      <c r="M13">
        <v>30.697304235553702</v>
      </c>
      <c r="N13">
        <v>26.080802604840152</v>
      </c>
      <c r="P13" t="s">
        <v>61</v>
      </c>
      <c r="Q13">
        <v>18.282700805454549</v>
      </c>
      <c r="R13">
        <v>30.687876925324304</v>
      </c>
      <c r="S13">
        <v>26.16225474848715</v>
      </c>
    </row>
    <row r="14" spans="1:19" x14ac:dyDescent="0.3">
      <c r="A14" t="s">
        <v>62</v>
      </c>
      <c r="B14">
        <v>24.89</v>
      </c>
      <c r="C14">
        <v>35.25</v>
      </c>
      <c r="D14">
        <v>30.462843525367202</v>
      </c>
      <c r="F14" t="s">
        <v>62</v>
      </c>
      <c r="G14">
        <v>8.3500000000000192</v>
      </c>
      <c r="H14">
        <v>40.43</v>
      </c>
      <c r="I14">
        <v>31.258071886419401</v>
      </c>
      <c r="K14" t="s">
        <v>62</v>
      </c>
      <c r="L14">
        <v>14.633948572879801</v>
      </c>
      <c r="M14">
        <v>31.938583062942101</v>
      </c>
      <c r="N14">
        <v>25.491681683764799</v>
      </c>
      <c r="P14" t="s">
        <v>62</v>
      </c>
      <c r="Q14">
        <v>22.918996071526401</v>
      </c>
      <c r="R14">
        <v>31.938492089337501</v>
      </c>
      <c r="S14">
        <v>27.2829536786438</v>
      </c>
    </row>
    <row r="15" spans="1:19" x14ac:dyDescent="0.3">
      <c r="A15" t="s">
        <v>63</v>
      </c>
      <c r="B15">
        <v>28.543333333333301</v>
      </c>
      <c r="C15">
        <v>38.61</v>
      </c>
      <c r="D15">
        <v>33.783339220496003</v>
      </c>
      <c r="F15" t="s">
        <v>63</v>
      </c>
      <c r="G15">
        <v>31.523333333333301</v>
      </c>
      <c r="H15">
        <v>42.47</v>
      </c>
      <c r="I15">
        <v>38.0806698282911</v>
      </c>
      <c r="K15" t="s">
        <v>63</v>
      </c>
      <c r="L15">
        <v>15.9268349028331</v>
      </c>
      <c r="M15">
        <v>30.73269034158205</v>
      </c>
      <c r="N15">
        <v>24.25610662122055</v>
      </c>
      <c r="P15" t="s">
        <v>63</v>
      </c>
      <c r="Q15">
        <v>21.468276284935499</v>
      </c>
      <c r="R15">
        <v>30.97312334256835</v>
      </c>
      <c r="S15">
        <v>25.656699687385601</v>
      </c>
    </row>
    <row r="16" spans="1:19" x14ac:dyDescent="0.3">
      <c r="A16" t="s">
        <v>64</v>
      </c>
      <c r="B16">
        <v>32.83</v>
      </c>
      <c r="C16">
        <v>39.100999999999999</v>
      </c>
      <c r="D16">
        <v>35.722004727478698</v>
      </c>
      <c r="F16" t="s">
        <v>64</v>
      </c>
      <c r="G16">
        <v>35.475000000000001</v>
      </c>
      <c r="H16">
        <v>41.805</v>
      </c>
      <c r="I16">
        <v>38.837290923957397</v>
      </c>
      <c r="K16" t="s">
        <v>64</v>
      </c>
      <c r="L16">
        <v>26.801438715170598</v>
      </c>
      <c r="M16">
        <v>37.09308359930445</v>
      </c>
      <c r="N16">
        <v>30.962672824451403</v>
      </c>
      <c r="P16" t="s">
        <v>64</v>
      </c>
      <c r="Q16">
        <v>26.599835932898699</v>
      </c>
      <c r="R16">
        <v>39.763194367242448</v>
      </c>
      <c r="S16">
        <v>31.999902532551303</v>
      </c>
    </row>
    <row r="17" spans="1:19" x14ac:dyDescent="0.3">
      <c r="A17" t="s">
        <v>65</v>
      </c>
      <c r="B17">
        <v>30.629200000000001</v>
      </c>
      <c r="C17">
        <v>35.106000000000002</v>
      </c>
      <c r="D17">
        <v>32.319067108105003</v>
      </c>
      <c r="F17" t="s">
        <v>65</v>
      </c>
      <c r="G17">
        <v>32.803333333333299</v>
      </c>
      <c r="H17">
        <v>37.103333333333303</v>
      </c>
      <c r="I17">
        <v>34.957911529027001</v>
      </c>
      <c r="K17" t="s">
        <v>65</v>
      </c>
      <c r="L17">
        <v>22.9272213272999</v>
      </c>
      <c r="M17">
        <v>37.261757126487403</v>
      </c>
      <c r="N17">
        <v>28.862749132334599</v>
      </c>
      <c r="P17" t="s">
        <v>65</v>
      </c>
      <c r="Q17">
        <v>21.927025928267199</v>
      </c>
      <c r="R17">
        <v>35.308967164277398</v>
      </c>
      <c r="S17">
        <v>28.216279068259499</v>
      </c>
    </row>
    <row r="18" spans="1:19" x14ac:dyDescent="0.3">
      <c r="A18" t="s">
        <v>66</v>
      </c>
      <c r="B18">
        <v>27.8533333333333</v>
      </c>
      <c r="C18">
        <v>31.997272727272701</v>
      </c>
      <c r="D18">
        <v>29.2305054535998</v>
      </c>
      <c r="F18" t="s">
        <v>66</v>
      </c>
      <c r="G18">
        <v>30.245000000000001</v>
      </c>
      <c r="H18">
        <v>34.590000000000003</v>
      </c>
      <c r="I18">
        <v>32.110628781684397</v>
      </c>
      <c r="K18" t="s">
        <v>66</v>
      </c>
      <c r="L18">
        <v>23.202897013108</v>
      </c>
      <c r="M18">
        <v>37.01507956777985</v>
      </c>
      <c r="N18">
        <v>28.193868760152853</v>
      </c>
      <c r="P18" t="s">
        <v>66</v>
      </c>
      <c r="Q18">
        <v>23.202891580871199</v>
      </c>
      <c r="R18">
        <v>36.084538610919452</v>
      </c>
      <c r="S18">
        <v>27.99755995281815</v>
      </c>
    </row>
    <row r="19" spans="1:19" x14ac:dyDescent="0.3">
      <c r="B19">
        <f>AVERAGE(B7:B18)</f>
        <v>30.651476114081984</v>
      </c>
      <c r="C19">
        <f>AVERAGE(C7:C18)</f>
        <v>38.473921429061136</v>
      </c>
      <c r="D19">
        <f>AVERAGE(D7:D18)</f>
        <v>34.818538328089915</v>
      </c>
      <c r="G19">
        <f>AVERAGE(G7:G18)</f>
        <v>32.896805555555552</v>
      </c>
      <c r="H19">
        <f>AVERAGE(H7:H18)</f>
        <v>42.667916666666663</v>
      </c>
      <c r="I19">
        <f>AVERAGE(I7:I18)</f>
        <v>38.739434481067761</v>
      </c>
      <c r="L19">
        <f>AVERAGE(L7:L18)</f>
        <v>22.176393413962426</v>
      </c>
      <c r="M19">
        <f>AVERAGE(M7:M18)</f>
        <v>37.313150483543616</v>
      </c>
      <c r="N19">
        <f>AVERAGE(N7:N18)</f>
        <v>30.065636650148832</v>
      </c>
      <c r="Q19">
        <f>AVERAGE(Q7:Q18)</f>
        <v>23.444628905100476</v>
      </c>
      <c r="R19">
        <f>AVERAGE(R7:R18)</f>
        <v>37.092930278532826</v>
      </c>
      <c r="S19">
        <f>AVERAGE(S7:S18)</f>
        <v>30.069928000523188</v>
      </c>
    </row>
  </sheetData>
  <mergeCells count="4">
    <mergeCell ref="B5:C5"/>
    <mergeCell ref="H5:I5"/>
    <mergeCell ref="L5:M5"/>
    <mergeCell ref="Q5:S5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4:AC42"/>
  <sheetViews>
    <sheetView tabSelected="1" topLeftCell="T1" workbookViewId="0">
      <selection activeCell="Y3" sqref="Y3"/>
    </sheetView>
  </sheetViews>
  <sheetFormatPr defaultColWidth="9.109375" defaultRowHeight="14.4" x14ac:dyDescent="0.3"/>
  <cols>
    <col min="1" max="1" width="15.88671875" bestFit="1" customWidth="1"/>
    <col min="2" max="2" width="12.88671875" customWidth="1"/>
    <col min="3" max="3" width="7.88671875" customWidth="1"/>
    <col min="4" max="4" width="12" customWidth="1"/>
    <col min="5" max="5" width="8.5546875" customWidth="1"/>
    <col min="6" max="7" width="23" bestFit="1" customWidth="1"/>
    <col min="8" max="8" width="23.5546875" bestFit="1" customWidth="1"/>
    <col min="9" max="9" width="29.88671875" bestFit="1" customWidth="1"/>
    <col min="10" max="11" width="14.5546875" bestFit="1" customWidth="1"/>
    <col min="12" max="12" width="22" bestFit="1" customWidth="1"/>
    <col min="13" max="13" width="29.88671875" bestFit="1" customWidth="1"/>
    <col min="14" max="14" width="12" bestFit="1" customWidth="1"/>
    <col min="15" max="15" width="14.5546875" bestFit="1" customWidth="1"/>
    <col min="16" max="16" width="22.44140625" bestFit="1" customWidth="1"/>
    <col min="17" max="17" width="29.88671875" bestFit="1" customWidth="1"/>
    <col min="18" max="18" width="12" customWidth="1"/>
    <col min="19" max="19" width="7.5546875" customWidth="1"/>
    <col min="20" max="20" width="12" customWidth="1"/>
    <col min="21" max="21" width="14.5546875" bestFit="1" customWidth="1"/>
    <col min="22" max="22" width="22.44140625" bestFit="1" customWidth="1"/>
    <col min="23" max="23" width="29.88671875" bestFit="1" customWidth="1"/>
    <col min="24" max="24" width="12.6640625" bestFit="1" customWidth="1"/>
    <col min="25" max="26" width="12.6640625" customWidth="1"/>
    <col min="27" max="27" width="14.5546875" bestFit="1" customWidth="1"/>
    <col min="28" max="28" width="22.44140625" bestFit="1" customWidth="1"/>
    <col min="29" max="29" width="29.88671875" bestFit="1" customWidth="1"/>
  </cols>
  <sheetData>
    <row r="4" spans="1:29" ht="16.2" x14ac:dyDescent="0.3">
      <c r="A4" t="s">
        <v>72</v>
      </c>
      <c r="B4" t="s">
        <v>73</v>
      </c>
      <c r="C4" t="s">
        <v>97</v>
      </c>
      <c r="G4" t="s">
        <v>74</v>
      </c>
      <c r="H4" t="s">
        <v>73</v>
      </c>
      <c r="I4" t="s">
        <v>97</v>
      </c>
      <c r="K4" t="s">
        <v>69</v>
      </c>
      <c r="L4" t="s">
        <v>75</v>
      </c>
      <c r="M4" t="s">
        <v>97</v>
      </c>
      <c r="O4" t="s">
        <v>92</v>
      </c>
      <c r="P4" t="s">
        <v>76</v>
      </c>
      <c r="Q4" t="s">
        <v>97</v>
      </c>
      <c r="U4" t="s">
        <v>70</v>
      </c>
      <c r="V4" t="s">
        <v>76</v>
      </c>
      <c r="W4" t="s">
        <v>97</v>
      </c>
      <c r="AA4" t="s">
        <v>68</v>
      </c>
      <c r="AB4" t="s">
        <v>76</v>
      </c>
      <c r="AC4" t="s">
        <v>97</v>
      </c>
    </row>
    <row r="6" spans="1:29" x14ac:dyDescent="0.3">
      <c r="A6" t="s">
        <v>77</v>
      </c>
      <c r="B6">
        <f>CORREL(Data!N3:N26,Data!P3:P26)</f>
        <v>-0.50290765367546764</v>
      </c>
      <c r="C6">
        <f t="shared" ref="C6:C11" si="0">B6^2</f>
        <v>0.25291610812536408</v>
      </c>
      <c r="G6" t="s">
        <v>77</v>
      </c>
      <c r="H6">
        <f>CORREL('Without monsoon'!E4:E27,'Without monsoon'!G4:G27)</f>
        <v>-0.20195225812032985</v>
      </c>
      <c r="I6">
        <f>H6^2</f>
        <v>4.0784714559900334E-2</v>
      </c>
      <c r="K6" t="s">
        <v>77</v>
      </c>
      <c r="L6">
        <f>CORREL(Data!N7:N12,Data!P7:P12)</f>
        <v>0.52514685298396924</v>
      </c>
      <c r="M6">
        <f>L6^2</f>
        <v>0.27577921719896659</v>
      </c>
      <c r="O6" t="s">
        <v>77</v>
      </c>
      <c r="P6">
        <f>CORREL(Data!N21:N26,Data!P21:P26)</f>
        <v>0.80387624112148659</v>
      </c>
      <c r="Q6">
        <f>P6^2</f>
        <v>0.64621701103961049</v>
      </c>
      <c r="U6" t="s">
        <v>77</v>
      </c>
      <c r="V6">
        <f>CORREL(Data!N13:N20,Data!P13:P20)</f>
        <v>-0.47209413256658306</v>
      </c>
      <c r="W6">
        <f>V6^2</f>
        <v>0.22287287000379449</v>
      </c>
      <c r="AA6" t="s">
        <v>77</v>
      </c>
      <c r="AB6">
        <f>CORREL(Data!P3:P6,Data!N3:N6)</f>
        <v>-0.80679791663679234</v>
      </c>
      <c r="AC6">
        <f>AB6^2</f>
        <v>0.65092287828946849</v>
      </c>
    </row>
    <row r="7" spans="1:29" x14ac:dyDescent="0.3">
      <c r="A7" t="s">
        <v>78</v>
      </c>
      <c r="B7">
        <f>CORREL(Data!N3:N26,Data!O3:O26)</f>
        <v>0.50258059473432959</v>
      </c>
      <c r="C7">
        <f t="shared" si="0"/>
        <v>0.25258725420351241</v>
      </c>
      <c r="G7" t="s">
        <v>78</v>
      </c>
      <c r="H7">
        <f>CORREL('Without monsoon'!E4:E27,'Without monsoon'!F4:F27)</f>
        <v>6.7444127363350356E-2</v>
      </c>
      <c r="I7">
        <f t="shared" ref="I7:I11" si="1">H7^2</f>
        <v>4.5487103158038241E-3</v>
      </c>
      <c r="K7" t="s">
        <v>78</v>
      </c>
      <c r="L7">
        <f>CORREL(Data!N7:N12,Data!O7:O12)</f>
        <v>-0.65458513836461618</v>
      </c>
      <c r="M7">
        <f t="shared" ref="M7:M11" si="2">L7^2</f>
        <v>0.42848170336782371</v>
      </c>
      <c r="O7" t="s">
        <v>78</v>
      </c>
      <c r="P7">
        <f>CORREL(Data!N21:N26,Data!O21:O26)</f>
        <v>-0.73599054407642306</v>
      </c>
      <c r="Q7">
        <f t="shared" ref="Q7:Q11" si="3">P7^2</f>
        <v>0.54168208096990922</v>
      </c>
      <c r="U7" t="s">
        <v>78</v>
      </c>
      <c r="V7">
        <f>CORREL(Data!N13:N20,Data!O13:O20)</f>
        <v>0.60687576989755598</v>
      </c>
      <c r="W7">
        <f t="shared" ref="W7:W11" si="4">V7^2</f>
        <v>0.3682982000887513</v>
      </c>
      <c r="AA7" t="s">
        <v>78</v>
      </c>
      <c r="AB7">
        <f>CORREL(Data!O3:O6,Data!N3:N6)</f>
        <v>0.95279575423267349</v>
      </c>
      <c r="AC7">
        <f t="shared" ref="AC7:AC11" si="5">AB7^2</f>
        <v>0.90781974928380915</v>
      </c>
    </row>
    <row r="8" spans="1:29" x14ac:dyDescent="0.3">
      <c r="A8" t="s">
        <v>79</v>
      </c>
      <c r="B8">
        <f>CORREL(Data!N3:N26,Data!Q3:Q26)</f>
        <v>0.41215958220525539</v>
      </c>
      <c r="C8">
        <f t="shared" si="0"/>
        <v>0.16987552120361069</v>
      </c>
      <c r="G8" t="s">
        <v>79</v>
      </c>
      <c r="H8">
        <f>CORREL('Without monsoon'!E4:E27,'Without monsoon'!H4:H27)</f>
        <v>5.0295927608727097E-3</v>
      </c>
      <c r="I8">
        <f t="shared" si="1"/>
        <v>2.5296803340223167E-5</v>
      </c>
      <c r="K8" t="s">
        <v>79</v>
      </c>
      <c r="L8">
        <f>CORREL(Data!N7:N12,Data!Q7:Q12)</f>
        <v>-0.53103104231628051</v>
      </c>
      <c r="M8">
        <f t="shared" si="2"/>
        <v>0.28199396790351527</v>
      </c>
      <c r="O8" t="s">
        <v>79</v>
      </c>
      <c r="P8">
        <f>CORREL(Data!N21:N26,Data!Q21:Q26)</f>
        <v>-0.8903736743099</v>
      </c>
      <c r="Q8">
        <f t="shared" si="3"/>
        <v>0.79276527990411183</v>
      </c>
      <c r="U8" t="s">
        <v>79</v>
      </c>
      <c r="V8">
        <f>CORREL(Data!N13:N20,Data!Q13:Q20)</f>
        <v>0.33489855786788592</v>
      </c>
      <c r="W8">
        <f t="shared" si="4"/>
        <v>0.11215704406198973</v>
      </c>
      <c r="AA8" t="s">
        <v>79</v>
      </c>
      <c r="AB8">
        <f>CORREL(Data!Q3:Q6,Data!N3:N6)</f>
        <v>0.91607796367358851</v>
      </c>
      <c r="AC8">
        <f t="shared" si="5"/>
        <v>0.83919883552834851</v>
      </c>
    </row>
    <row r="9" spans="1:29" x14ac:dyDescent="0.3">
      <c r="A9" t="s">
        <v>80</v>
      </c>
      <c r="B9">
        <f>CORREL(Data!N3:N26,Data!R3:R26)</f>
        <v>-0.52455939722221512</v>
      </c>
      <c r="C9">
        <f t="shared" si="0"/>
        <v>0.27516256121413368</v>
      </c>
      <c r="G9" t="s">
        <v>80</v>
      </c>
      <c r="H9">
        <f>CORREL('Without monsoon'!E4:E27,'Without monsoon'!I4:I27)</f>
        <v>-0.11700554481932049</v>
      </c>
      <c r="I9">
        <f t="shared" si="1"/>
        <v>1.3690297518466015E-2</v>
      </c>
      <c r="K9" t="s">
        <v>80</v>
      </c>
      <c r="L9">
        <f>CORREL(Data!N7:N12,Data!R7:R12)</f>
        <v>0.5447216398996193</v>
      </c>
      <c r="M9">
        <f t="shared" si="2"/>
        <v>0.29672166497493052</v>
      </c>
      <c r="O9" t="s">
        <v>80</v>
      </c>
      <c r="P9">
        <f>CORREL(Data!N21:N26,Data!R21:R26)</f>
        <v>0.79182028667776883</v>
      </c>
      <c r="Q9">
        <f t="shared" si="3"/>
        <v>0.62697936639446405</v>
      </c>
      <c r="U9" t="s">
        <v>80</v>
      </c>
      <c r="V9">
        <f>CORREL(Data!N13:N20,Data!R13:R20)</f>
        <v>-0.64721360343337675</v>
      </c>
      <c r="W9">
        <f t="shared" si="4"/>
        <v>0.41888544846921627</v>
      </c>
      <c r="AA9" t="s">
        <v>80</v>
      </c>
      <c r="AB9">
        <f>CORREL(Data!R3:R6,Data!N3:N6)</f>
        <v>-0.69190823593025874</v>
      </c>
      <c r="AC9">
        <f t="shared" si="5"/>
        <v>0.4787370069481226</v>
      </c>
    </row>
    <row r="10" spans="1:29" x14ac:dyDescent="0.3">
      <c r="A10" t="s">
        <v>81</v>
      </c>
      <c r="B10">
        <f>CORREL(Data!N3:N26,Data!M3:M26)</f>
        <v>-0.45009184583891965</v>
      </c>
      <c r="C10">
        <f t="shared" si="0"/>
        <v>0.20258266969068581</v>
      </c>
      <c r="G10" t="s">
        <v>81</v>
      </c>
      <c r="H10">
        <f>CORREL('Without monsoon'!E4:E27,'Without monsoon'!D4:D27)</f>
        <v>-0.78329493156967311</v>
      </c>
      <c r="I10">
        <f t="shared" si="1"/>
        <v>0.61355094982273883</v>
      </c>
      <c r="K10" t="s">
        <v>81</v>
      </c>
      <c r="L10">
        <f>CORREL(Data!N7:N12,Data!M7:M12)</f>
        <v>-0.6825185540182398</v>
      </c>
      <c r="M10">
        <f t="shared" si="2"/>
        <v>0.46583157657914892</v>
      </c>
      <c r="O10" t="s">
        <v>81</v>
      </c>
      <c r="P10">
        <f>CORREL(Data!N21:N26,Data!M21:M26)</f>
        <v>-0.71864093381502891</v>
      </c>
      <c r="Q10">
        <f t="shared" si="3"/>
        <v>0.51644479175453673</v>
      </c>
      <c r="U10" t="s">
        <v>81</v>
      </c>
      <c r="V10">
        <f>CORREL(Data!M13:M20,Data!N13:N20)</f>
        <v>4.5398144551229175E-2</v>
      </c>
      <c r="W10">
        <f t="shared" si="4"/>
        <v>2.0609915286942991E-3</v>
      </c>
      <c r="AA10" t="s">
        <v>81</v>
      </c>
      <c r="AB10">
        <f>CORREL(Data!M3:M6,Data!N3:N6)</f>
        <v>-0.59021970450941363</v>
      </c>
      <c r="AC10">
        <f t="shared" si="5"/>
        <v>0.34835929959117956</v>
      </c>
    </row>
    <row r="11" spans="1:29" x14ac:dyDescent="0.3">
      <c r="A11" t="s">
        <v>82</v>
      </c>
      <c r="B11">
        <f>CORREL(Data!N3:N26,Data!K3:K26)</f>
        <v>0.99998953732106766</v>
      </c>
      <c r="C11">
        <f t="shared" si="0"/>
        <v>0.99997907475160297</v>
      </c>
      <c r="G11" t="s">
        <v>82</v>
      </c>
      <c r="H11">
        <f>CORREL('Without monsoon'!E4:E27,'Without monsoon'!B4:B27)</f>
        <v>0.9999909250606791</v>
      </c>
      <c r="I11">
        <f t="shared" si="1"/>
        <v>0.99998185020371277</v>
      </c>
      <c r="K11" t="s">
        <v>82</v>
      </c>
      <c r="L11">
        <f>CORREL(Data!N7:N12,Data!K7:K12)</f>
        <v>0.99998638240613613</v>
      </c>
      <c r="M11">
        <f t="shared" si="2"/>
        <v>0.99997276499771115</v>
      </c>
      <c r="O11" t="s">
        <v>82</v>
      </c>
      <c r="P11">
        <f>CORREL(Data!N21:N26,Data!K21:K26)</f>
        <v>0.99997337032738565</v>
      </c>
      <c r="Q11">
        <f t="shared" si="3"/>
        <v>0.99994674136391071</v>
      </c>
      <c r="U11" t="s">
        <v>82</v>
      </c>
      <c r="V11">
        <f>CORREL(Data!N13:N20,Data!K13:K20)</f>
        <v>0.99995901963771194</v>
      </c>
      <c r="W11">
        <f t="shared" si="4"/>
        <v>0.99991804095481396</v>
      </c>
      <c r="AA11" t="s">
        <v>82</v>
      </c>
      <c r="AB11">
        <f>CORREL(Data!K3:K6,Data!N3:N6)</f>
        <v>0.99995014192391285</v>
      </c>
      <c r="AC11">
        <f t="shared" si="5"/>
        <v>0.99990028633365347</v>
      </c>
    </row>
    <row r="13" spans="1:29" x14ac:dyDescent="0.3">
      <c r="A13" t="s">
        <v>83</v>
      </c>
      <c r="B13">
        <f>CORREL(Data!O3:O26,Data!M3:M26)</f>
        <v>-0.30159589776317841</v>
      </c>
      <c r="C13">
        <f>B13^2</f>
        <v>9.0960085547577563E-2</v>
      </c>
      <c r="G13" t="s">
        <v>89</v>
      </c>
      <c r="H13">
        <f>CORREL('Without monsoon'!G4:G27,'Without monsoon'!F4:F27)</f>
        <v>-0.93450149927633974</v>
      </c>
      <c r="K13" t="s">
        <v>89</v>
      </c>
      <c r="L13">
        <f>CORREL(Data!P7:P12,Data!O7:O12)</f>
        <v>-0.15986732335589388</v>
      </c>
      <c r="O13" t="s">
        <v>89</v>
      </c>
      <c r="P13">
        <f>CORREL(Data!P21:P26,Data!O21:O26)</f>
        <v>-0.96795436584080596</v>
      </c>
      <c r="U13" t="s">
        <v>89</v>
      </c>
      <c r="V13">
        <f>CORREL(Data!O13:O20,Data!P13:P20)</f>
        <v>-0.94073406884870303</v>
      </c>
      <c r="AA13" t="s">
        <v>89</v>
      </c>
      <c r="AB13">
        <f>CORREL(Data!P3:P6,Data!O3:O6)</f>
        <v>-0.94415343946501351</v>
      </c>
    </row>
    <row r="14" spans="1:29" x14ac:dyDescent="0.3">
      <c r="A14" t="s">
        <v>84</v>
      </c>
      <c r="B14">
        <f>CORREL(Data!P3:P26,Data!R3:R26)</f>
        <v>0.97059413267515926</v>
      </c>
      <c r="C14">
        <f>B14^2</f>
        <v>0.94205297038344471</v>
      </c>
      <c r="G14" t="s">
        <v>84</v>
      </c>
    </row>
    <row r="15" spans="1:29" x14ac:dyDescent="0.3">
      <c r="A15" t="s">
        <v>85</v>
      </c>
      <c r="B15">
        <f>CORREL(Data!Q3:Q26,Data!R3:R26)</f>
        <v>-0.9396220883511317</v>
      </c>
      <c r="C15">
        <f>B15^2</f>
        <v>0.882889668917342</v>
      </c>
      <c r="G15" t="s">
        <v>85</v>
      </c>
    </row>
    <row r="16" spans="1:29" x14ac:dyDescent="0.3">
      <c r="A16" t="s">
        <v>89</v>
      </c>
      <c r="B16">
        <f>CORREL(Data!P3:P26,Data!O3:O26)</f>
        <v>-0.97017496899348443</v>
      </c>
      <c r="C16">
        <f>B16^2</f>
        <v>0.94123947046150847</v>
      </c>
    </row>
    <row r="18" spans="1:28" x14ac:dyDescent="0.3">
      <c r="A18" t="s">
        <v>86</v>
      </c>
      <c r="B18">
        <f>CORREL('Modis-Landsat'!E6:E17,'Modis-Landsat'!T6:T17)</f>
        <v>0.77371972256866428</v>
      </c>
      <c r="D18">
        <f>B18^2</f>
        <v>0.59864220909173083</v>
      </c>
      <c r="G18" t="s">
        <v>86</v>
      </c>
      <c r="K18" t="s">
        <v>86</v>
      </c>
      <c r="L18">
        <f>CORREL('Modis-Landsat'!E8:E10,'Modis-Landsat'!T8:T10)</f>
        <v>0.97271405594429949</v>
      </c>
      <c r="O18" t="s">
        <v>86</v>
      </c>
      <c r="P18">
        <f>CORREL('Modis-Landsat'!E15:E17,'Modis-Landsat'!T15:T17)</f>
        <v>0.90173577554258511</v>
      </c>
      <c r="U18" t="s">
        <v>86</v>
      </c>
      <c r="V18">
        <f>CORREL('Modis-Landsat'!E11:E14,'Modis-Landsat'!T11:T14)</f>
        <v>-0.77421911106558272</v>
      </c>
      <c r="AA18" t="s">
        <v>86</v>
      </c>
      <c r="AB18">
        <f>CORREL('MODIS-LANDSAT without Monsoon'!D7:D8,'MODIS-LANDSAT without Monsoon'!S7:S8)</f>
        <v>1</v>
      </c>
    </row>
    <row r="19" spans="1:28" x14ac:dyDescent="0.3">
      <c r="A19" t="s">
        <v>87</v>
      </c>
      <c r="B19">
        <f>CORREL('Modis-Landsat'!J6:J17,'Modis-Landsat'!T6:T17)</f>
        <v>0.78705472468304793</v>
      </c>
      <c r="D19">
        <f>B19^2</f>
        <v>0.61945513964590837</v>
      </c>
      <c r="G19" t="s">
        <v>87</v>
      </c>
      <c r="K19" t="s">
        <v>87</v>
      </c>
      <c r="L19">
        <f>CORREL('Modis-Landsat'!J8:J10,'Modis-Landsat'!T8:T10)</f>
        <v>0.98510948860948189</v>
      </c>
      <c r="O19" t="s">
        <v>87</v>
      </c>
      <c r="P19">
        <f>CORREL('Modis-Landsat'!J15:J17,'Modis-Landsat'!T15:T17)</f>
        <v>0.92618619593561302</v>
      </c>
      <c r="U19" t="s">
        <v>87</v>
      </c>
      <c r="V19">
        <f>CORREL('Modis-Landsat'!J11:J14,'Modis-Landsat'!T11:T14)</f>
        <v>-0.86562707277934092</v>
      </c>
      <c r="AA19" t="s">
        <v>87</v>
      </c>
      <c r="AB19">
        <f>CORREL('Modis-Landsat'!J6:J7,'Modis-Landsat'!T6:T7)</f>
        <v>1.0000000000000002</v>
      </c>
    </row>
    <row r="20" spans="1:28" x14ac:dyDescent="0.3">
      <c r="H20" t="s">
        <v>88</v>
      </c>
      <c r="L20" t="s">
        <v>88</v>
      </c>
      <c r="P20" t="s">
        <v>88</v>
      </c>
      <c r="V20" t="s">
        <v>88</v>
      </c>
    </row>
    <row r="21" spans="1:28" x14ac:dyDescent="0.3">
      <c r="A21" t="s">
        <v>15</v>
      </c>
      <c r="B21">
        <v>302.39999999993802</v>
      </c>
      <c r="G21" t="s">
        <v>15</v>
      </c>
      <c r="K21" t="s">
        <v>15</v>
      </c>
      <c r="L21">
        <v>312.04971822030001</v>
      </c>
      <c r="O21" t="s">
        <v>15</v>
      </c>
      <c r="P21">
        <v>302.09999999989299</v>
      </c>
      <c r="U21" t="s">
        <v>15</v>
      </c>
      <c r="V21">
        <v>298.89999999994302</v>
      </c>
      <c r="AA21" t="s">
        <v>15</v>
      </c>
      <c r="AB21">
        <v>298.00489101658297</v>
      </c>
    </row>
    <row r="22" spans="1:28" x14ac:dyDescent="0.3">
      <c r="A22" t="s">
        <v>14</v>
      </c>
      <c r="B22">
        <v>0.98704510176597104</v>
      </c>
      <c r="G22" t="s">
        <v>14</v>
      </c>
      <c r="K22" t="s">
        <v>14</v>
      </c>
      <c r="L22">
        <v>0.98670946585874397</v>
      </c>
      <c r="O22" t="s">
        <v>14</v>
      </c>
      <c r="P22">
        <v>0.98710615329442297</v>
      </c>
      <c r="U22" t="s">
        <v>14</v>
      </c>
      <c r="V22">
        <v>0.98713694572545796</v>
      </c>
      <c r="AA22" t="s">
        <v>14</v>
      </c>
      <c r="AB22">
        <v>0.98698417743195899</v>
      </c>
    </row>
    <row r="23" spans="1:28" x14ac:dyDescent="0.3">
      <c r="A23" t="s">
        <v>13</v>
      </c>
      <c r="B23">
        <v>0.261671643821414</v>
      </c>
      <c r="G23" t="s">
        <v>13</v>
      </c>
      <c r="K23" t="s">
        <v>13</v>
      </c>
      <c r="L23">
        <v>0.17771607678453799</v>
      </c>
      <c r="O23" t="s">
        <v>13</v>
      </c>
      <c r="P23">
        <v>0.27729801060248999</v>
      </c>
      <c r="U23" t="s">
        <v>13</v>
      </c>
      <c r="V23">
        <v>0.28709552816662498</v>
      </c>
      <c r="AA23" t="s">
        <v>13</v>
      </c>
      <c r="AB23">
        <v>0.24413900859572199</v>
      </c>
    </row>
    <row r="24" spans="1:28" x14ac:dyDescent="0.3">
      <c r="A24" t="s">
        <v>12</v>
      </c>
      <c r="B24">
        <v>30.1506424816947</v>
      </c>
      <c r="G24" t="s">
        <v>12</v>
      </c>
      <c r="K24" t="s">
        <v>12</v>
      </c>
      <c r="L24">
        <v>39.934358547924198</v>
      </c>
      <c r="O24" t="s">
        <v>12</v>
      </c>
      <c r="P24">
        <v>29.914011986402599</v>
      </c>
      <c r="U24" t="s">
        <v>12</v>
      </c>
      <c r="V24">
        <v>26.657746495151802</v>
      </c>
      <c r="AA24" t="s">
        <v>12</v>
      </c>
      <c r="AB24">
        <v>25.7097533311928</v>
      </c>
    </row>
    <row r="25" spans="1:28" x14ac:dyDescent="0.3">
      <c r="A25" t="s">
        <v>11</v>
      </c>
      <c r="B25">
        <v>-2.1459366047189499E-2</v>
      </c>
      <c r="G25" t="s">
        <v>11</v>
      </c>
      <c r="K25" t="s">
        <v>11</v>
      </c>
      <c r="L25">
        <v>-1.9665979263852199E-3</v>
      </c>
      <c r="O25" t="s">
        <v>11</v>
      </c>
      <c r="P25">
        <v>-2.5379851938654201E-2</v>
      </c>
      <c r="U25" t="s">
        <v>11</v>
      </c>
      <c r="V25">
        <v>-9.1778707747315197E-2</v>
      </c>
      <c r="AA25" t="s">
        <v>11</v>
      </c>
      <c r="AB25">
        <v>3.9275884690381201E-3</v>
      </c>
    </row>
    <row r="26" spans="1:28" x14ac:dyDescent="0.3">
      <c r="A26" t="s">
        <v>10</v>
      </c>
      <c r="B26">
        <v>0.26949448895113898</v>
      </c>
      <c r="G26" t="s">
        <v>10</v>
      </c>
      <c r="K26" t="s">
        <v>10</v>
      </c>
      <c r="L26">
        <v>0.23044613421933799</v>
      </c>
      <c r="O26" t="s">
        <v>10</v>
      </c>
      <c r="P26">
        <v>0.29293396740357802</v>
      </c>
      <c r="U26" t="s">
        <v>10</v>
      </c>
      <c r="V26">
        <v>0.37103082201912402</v>
      </c>
      <c r="AA26" t="s">
        <v>10</v>
      </c>
      <c r="AB26">
        <v>0.23042476271106299</v>
      </c>
    </row>
    <row r="27" spans="1:28" x14ac:dyDescent="0.3">
      <c r="A27" t="s">
        <v>9</v>
      </c>
      <c r="B27">
        <v>-0.33788642938529501</v>
      </c>
      <c r="G27" t="s">
        <v>9</v>
      </c>
      <c r="K27" t="s">
        <v>9</v>
      </c>
      <c r="L27">
        <v>-0.31638638508571498</v>
      </c>
      <c r="O27" t="s">
        <v>9</v>
      </c>
      <c r="P27">
        <v>-0.34767978880862899</v>
      </c>
      <c r="U27" t="s">
        <v>9</v>
      </c>
      <c r="V27">
        <v>-0.386704237415747</v>
      </c>
      <c r="AA27" t="s">
        <v>9</v>
      </c>
      <c r="AB27">
        <v>-0.30075856757033598</v>
      </c>
    </row>
    <row r="28" spans="1:28" x14ac:dyDescent="0.3">
      <c r="A28" t="s">
        <v>8</v>
      </c>
      <c r="B28">
        <v>0.13669645294517699</v>
      </c>
      <c r="G28" t="s">
        <v>8</v>
      </c>
      <c r="K28" t="s">
        <v>8</v>
      </c>
      <c r="L28">
        <v>9.7630428627142204E-2</v>
      </c>
      <c r="O28" t="s">
        <v>8</v>
      </c>
      <c r="P28">
        <v>0.152338354343178</v>
      </c>
      <c r="U28" t="s">
        <v>8</v>
      </c>
      <c r="V28">
        <v>0.26949787924886798</v>
      </c>
      <c r="AA28" t="s">
        <v>8</v>
      </c>
      <c r="AB28">
        <v>8.9831392524889697E-2</v>
      </c>
    </row>
    <row r="30" spans="1:28" x14ac:dyDescent="0.3">
      <c r="A30" t="s">
        <v>95</v>
      </c>
      <c r="AA30" t="s">
        <v>95</v>
      </c>
    </row>
    <row r="31" spans="1:28" x14ac:dyDescent="0.3">
      <c r="A31" t="s">
        <v>96</v>
      </c>
      <c r="AA31" t="s">
        <v>96</v>
      </c>
    </row>
    <row r="33" spans="1:28" x14ac:dyDescent="0.3">
      <c r="A33" t="s">
        <v>90</v>
      </c>
      <c r="B33">
        <v>34.971660800285797</v>
      </c>
      <c r="G33" t="s">
        <v>90</v>
      </c>
      <c r="K33" t="s">
        <v>90</v>
      </c>
      <c r="L33">
        <v>41.147400933960299</v>
      </c>
      <c r="O33" t="s">
        <v>90</v>
      </c>
      <c r="P33">
        <v>32.359707376460499</v>
      </c>
      <c r="U33" t="s">
        <v>90</v>
      </c>
      <c r="V33">
        <v>36.0080034799415</v>
      </c>
      <c r="AA33" t="s">
        <v>90</v>
      </c>
      <c r="AB33">
        <v>29.321654408425498</v>
      </c>
    </row>
    <row r="34" spans="1:28" x14ac:dyDescent="0.3">
      <c r="A34" t="s">
        <v>91</v>
      </c>
      <c r="B34">
        <v>39.615048474714399</v>
      </c>
      <c r="G34" t="s">
        <v>91</v>
      </c>
      <c r="K34" t="s">
        <v>91</v>
      </c>
      <c r="L34">
        <v>46.089021129051602</v>
      </c>
      <c r="O34" t="s">
        <v>91</v>
      </c>
      <c r="P34">
        <v>35.638529885174201</v>
      </c>
      <c r="U34" t="s">
        <v>91</v>
      </c>
      <c r="V34">
        <v>39.647728302479898</v>
      </c>
      <c r="AA34" t="s">
        <v>91</v>
      </c>
      <c r="AB34">
        <v>34.086138862941702</v>
      </c>
    </row>
    <row r="37" spans="1:28" x14ac:dyDescent="0.3">
      <c r="C37" t="s">
        <v>52</v>
      </c>
      <c r="D37" t="s">
        <v>53</v>
      </c>
      <c r="E37" t="s">
        <v>54</v>
      </c>
    </row>
    <row r="38" spans="1:28" x14ac:dyDescent="0.3">
      <c r="B38">
        <v>2020</v>
      </c>
      <c r="C38">
        <v>24.211372205518501</v>
      </c>
      <c r="D38">
        <v>36.469702716826298</v>
      </c>
      <c r="E38">
        <v>30.1506424816947</v>
      </c>
    </row>
    <row r="39" spans="1:28" x14ac:dyDescent="0.3">
      <c r="B39" t="s">
        <v>93</v>
      </c>
      <c r="C39">
        <v>29.244760339719601</v>
      </c>
      <c r="D39">
        <v>48.358003016204201</v>
      </c>
      <c r="E39">
        <v>39.934358547924198</v>
      </c>
    </row>
    <row r="40" spans="1:28" x14ac:dyDescent="0.3">
      <c r="B40" t="s">
        <v>70</v>
      </c>
      <c r="C40">
        <v>21.5865131229078</v>
      </c>
      <c r="D40">
        <v>31.834802065792001</v>
      </c>
      <c r="E40">
        <v>26.657746495151802</v>
      </c>
    </row>
    <row r="41" spans="1:28" x14ac:dyDescent="0.3">
      <c r="B41" t="s">
        <v>94</v>
      </c>
      <c r="C41">
        <v>24.633531828730199</v>
      </c>
      <c r="D41">
        <v>37.276832658888203</v>
      </c>
      <c r="E41">
        <v>29.914011986402599</v>
      </c>
    </row>
    <row r="42" spans="1:28" x14ac:dyDescent="0.3">
      <c r="B42" t="s">
        <v>68</v>
      </c>
      <c r="C42">
        <v>20.013363782891499</v>
      </c>
      <c r="D42">
        <v>33.3516628006521</v>
      </c>
      <c r="E42">
        <v>25.7097533311928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Seasonal data</vt:lpstr>
      <vt:lpstr>Data</vt:lpstr>
      <vt:lpstr>Monthly Data</vt:lpstr>
      <vt:lpstr>Without monsoon</vt:lpstr>
      <vt:lpstr>Modis-Landsat</vt:lpstr>
      <vt:lpstr>MODIS-LANDSAT without Monsoon</vt:lpstr>
      <vt:lpstr>Statistical Parameters</vt:lpstr>
      <vt:lpstr>'Statistical Parameters'!_2020</vt:lpstr>
      <vt:lpstr>Data!Dec1531_</vt:lpstr>
      <vt:lpstr>Data!Monsoon</vt:lpstr>
      <vt:lpstr>'Seasonal data'!Post_monsoon</vt:lpstr>
      <vt:lpstr>'Seasonal data'!Summer</vt:lpstr>
      <vt:lpstr>Data!Winter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Divyakumar Kotia</cp:lastModifiedBy>
  <cp:lastPrinted>2021-07-18T21:42:33Z</cp:lastPrinted>
  <dcterms:created xsi:type="dcterms:W3CDTF">2021-07-14T09:50:45Z</dcterms:created>
  <dcterms:modified xsi:type="dcterms:W3CDTF">2026-08-30T15:24:38Z</dcterms:modified>
</cp:coreProperties>
</file>